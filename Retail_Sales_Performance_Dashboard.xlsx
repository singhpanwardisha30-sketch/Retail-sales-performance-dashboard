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esktop\"/>
    </mc:Choice>
  </mc:AlternateContent>
  <xr:revisionPtr revIDLastSave="0" documentId="8_{806E64FD-0535-4FF0-B888-446BED13AE2C}" xr6:coauthVersionLast="47" xr6:coauthVersionMax="47" xr10:uidLastSave="{00000000-0000-0000-0000-000000000000}"/>
  <bookViews>
    <workbookView xWindow="-120" yWindow="-120" windowWidth="20730" windowHeight="11040" activeTab="4" xr2:uid="{00000000-000D-0000-FFFF-FFFF00000000}"/>
  </bookViews>
  <sheets>
    <sheet name="Raw_Data" sheetId="1" r:id="rId1"/>
    <sheet name="Cleaned_Data" sheetId="2" r:id="rId2"/>
    <sheet name="Analysis_Data" sheetId="6" r:id="rId3"/>
    <sheet name="Pivot_Analysis" sheetId="3" r:id="rId4"/>
    <sheet name="Dashboard" sheetId="4" r:id="rId5"/>
  </sheets>
  <definedNames>
    <definedName name="_xlnm._FilterDatabase" localSheetId="1" hidden="1">Cleaned_Data!$A$1:$N$301</definedName>
    <definedName name="_xlnm._FilterDatabase" localSheetId="0" hidden="1">Raw_Data!$A$1:$J$301</definedName>
    <definedName name="Slicer_Category">#N/A</definedName>
    <definedName name="Slicer_Customer_Typ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A5" i="4"/>
  <c r="G5" i="4"/>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2" i="6"/>
  <c r="S6" i="2"/>
  <c r="S5" i="2"/>
  <c r="S4" i="2"/>
  <c r="S3"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2" i="2"/>
  <c r="J5" i="4" l="1"/>
</calcChain>
</file>

<file path=xl/sharedStrings.xml><?xml version="1.0" encoding="utf-8"?>
<sst xmlns="http://schemas.openxmlformats.org/spreadsheetml/2006/main" count="4593" uniqueCount="577">
  <si>
    <t>Order ID</t>
  </si>
  <si>
    <t>Order Date</t>
  </si>
  <si>
    <t>Region</t>
  </si>
  <si>
    <t>Category</t>
  </si>
  <si>
    <t>Product</t>
  </si>
  <si>
    <t>Customer Type</t>
  </si>
  <si>
    <t>Quantity</t>
  </si>
  <si>
    <t>Sales</t>
  </si>
  <si>
    <t>Profit</t>
  </si>
  <si>
    <t>Payment Mode</t>
  </si>
  <si>
    <t>ORD-0001</t>
  </si>
  <si>
    <t>2025-03-13</t>
  </si>
  <si>
    <t>North</t>
  </si>
  <si>
    <t>Home</t>
  </si>
  <si>
    <t>Blender</t>
  </si>
  <si>
    <t>New</t>
  </si>
  <si>
    <t>Net Banking</t>
  </si>
  <si>
    <t>ORD-0002</t>
  </si>
  <si>
    <t>2025-01-14</t>
  </si>
  <si>
    <t>South</t>
  </si>
  <si>
    <t>Electronics</t>
  </si>
  <si>
    <t>Laptop</t>
  </si>
  <si>
    <t>Existing</t>
  </si>
  <si>
    <t>Card</t>
  </si>
  <si>
    <t>ORD-0003</t>
  </si>
  <si>
    <t>2025-03-23</t>
  </si>
  <si>
    <t>West</t>
  </si>
  <si>
    <t>Clothing</t>
  </si>
  <si>
    <t>Dress</t>
  </si>
  <si>
    <t>Cash</t>
  </si>
  <si>
    <t>ORD-0004</t>
  </si>
  <si>
    <t>2025-07-03</t>
  </si>
  <si>
    <t>East</t>
  </si>
  <si>
    <t>Headphones</t>
  </si>
  <si>
    <t>UPI</t>
  </si>
  <si>
    <t>ORD-0005</t>
  </si>
  <si>
    <t>2025-02-10</t>
  </si>
  <si>
    <t>Cookware Set</t>
  </si>
  <si>
    <t>ORD-0006</t>
  </si>
  <si>
    <t>ORD-0007</t>
  </si>
  <si>
    <t>2025-12-10</t>
  </si>
  <si>
    <t>Sneakers</t>
  </si>
  <si>
    <t>ORD-0008</t>
  </si>
  <si>
    <t>2025-11-24</t>
  </si>
  <si>
    <t>Desk Lamp</t>
  </si>
  <si>
    <t>ORD-0009</t>
  </si>
  <si>
    <t>2025-10-18</t>
  </si>
  <si>
    <t>ORD-0010</t>
  </si>
  <si>
    <t>2025-10-15</t>
  </si>
  <si>
    <t>ORD-0011</t>
  </si>
  <si>
    <t>2025-01-25</t>
  </si>
  <si>
    <t>T-Shirt</t>
  </si>
  <si>
    <t>ORD-0012</t>
  </si>
  <si>
    <t>2025-08-28</t>
  </si>
  <si>
    <t>ORD-0013</t>
  </si>
  <si>
    <t>2025-05-31</t>
  </si>
  <si>
    <t>Chair</t>
  </si>
  <si>
    <t>ORD-0014</t>
  </si>
  <si>
    <t>2025-02-24</t>
  </si>
  <si>
    <t>Smartphone</t>
  </si>
  <si>
    <t>ORD-0015</t>
  </si>
  <si>
    <t>2025-01-01</t>
  </si>
  <si>
    <t>ORD-0016</t>
  </si>
  <si>
    <t>ORD-0017</t>
  </si>
  <si>
    <t>2025-10-09</t>
  </si>
  <si>
    <t>south</t>
  </si>
  <si>
    <t>Monitor</t>
  </si>
  <si>
    <t>ORD-0018</t>
  </si>
  <si>
    <t>ORD-0019</t>
  </si>
  <si>
    <t>2025-10-11</t>
  </si>
  <si>
    <t>ORD-0020</t>
  </si>
  <si>
    <t>2025-06-19</t>
  </si>
  <si>
    <t>ORD-0021</t>
  </si>
  <si>
    <t>2025-10-20</t>
  </si>
  <si>
    <t>ORD-0022</t>
  </si>
  <si>
    <t>2025-08-05</t>
  </si>
  <si>
    <t>ORD-0023</t>
  </si>
  <si>
    <t>2025-02-25</t>
  </si>
  <si>
    <t>ORD-0024</t>
  </si>
  <si>
    <t>2025-05-08</t>
  </si>
  <si>
    <t>ORD-0025</t>
  </si>
  <si>
    <t>2025-05-02</t>
  </si>
  <si>
    <t>ORD-0026</t>
  </si>
  <si>
    <t>2025-01-02</t>
  </si>
  <si>
    <t>ORD-0027</t>
  </si>
  <si>
    <t>2025-04-08</t>
  </si>
  <si>
    <t>ORD-0028</t>
  </si>
  <si>
    <t>2025-10-27</t>
  </si>
  <si>
    <t>ORD-0029</t>
  </si>
  <si>
    <t>2025-05-01</t>
  </si>
  <si>
    <t>ORD-0030</t>
  </si>
  <si>
    <t>2025-10-26</t>
  </si>
  <si>
    <t>ORD-0031</t>
  </si>
  <si>
    <t>2025-11-27</t>
  </si>
  <si>
    <t>Bedsheet</t>
  </si>
  <si>
    <t>ORD-0032</t>
  </si>
  <si>
    <t>2025-02-21</t>
  </si>
  <si>
    <t>ORD-0033</t>
  </si>
  <si>
    <t>2025-03-22</t>
  </si>
  <si>
    <t>ORD-0034</t>
  </si>
  <si>
    <t>2025-03-10</t>
  </si>
  <si>
    <t xml:space="preserve"> home </t>
  </si>
  <si>
    <t>ORD-0035</t>
  </si>
  <si>
    <t>2025-06-25</t>
  </si>
  <si>
    <t>ORD-0036</t>
  </si>
  <si>
    <t>2025-01-23</t>
  </si>
  <si>
    <t>Jacket</t>
  </si>
  <si>
    <t>ORD-0037</t>
  </si>
  <si>
    <t>2025-08-07</t>
  </si>
  <si>
    <t>ORD-0038</t>
  </si>
  <si>
    <t>2025-10-10</t>
  </si>
  <si>
    <t>ORD-0039</t>
  </si>
  <si>
    <t>2025-01-21</t>
  </si>
  <si>
    <t>ORD-0040</t>
  </si>
  <si>
    <t>2025-07-28</t>
  </si>
  <si>
    <t>ORD-0041</t>
  </si>
  <si>
    <t>2025-07-30</t>
  </si>
  <si>
    <t>Keyboard</t>
  </si>
  <si>
    <t>ORD-0042</t>
  </si>
  <si>
    <t>2025-04-24</t>
  </si>
  <si>
    <t>ORD-0043</t>
  </si>
  <si>
    <t>2025-06-18</t>
  </si>
  <si>
    <t>ORD-0044</t>
  </si>
  <si>
    <t>ORD-0045</t>
  </si>
  <si>
    <t>26-06-2025</t>
  </si>
  <si>
    <t>ORD-0046</t>
  </si>
  <si>
    <t>ORD-0047</t>
  </si>
  <si>
    <t>2025-06-03</t>
  </si>
  <si>
    <t>ORD-0048</t>
  </si>
  <si>
    <t>2025-07-14</t>
  </si>
  <si>
    <t>Jeans</t>
  </si>
  <si>
    <t>ORD-0049</t>
  </si>
  <si>
    <t>2025-10-24</t>
  </si>
  <si>
    <t>ORD-0050</t>
  </si>
  <si>
    <t>2025-03-28</t>
  </si>
  <si>
    <t>ORD-0051</t>
  </si>
  <si>
    <t>2025-01-13</t>
  </si>
  <si>
    <t>ORD-0052</t>
  </si>
  <si>
    <t>2025-04-10</t>
  </si>
  <si>
    <t xml:space="preserve"> Blender </t>
  </si>
  <si>
    <t>ORD-0053</t>
  </si>
  <si>
    <t>ORD-0054</t>
  </si>
  <si>
    <t>2025-03-04</t>
  </si>
  <si>
    <t>ORD-0055</t>
  </si>
  <si>
    <t>2025-08-15</t>
  </si>
  <si>
    <t>ORD-0056</t>
  </si>
  <si>
    <t>2025-11-23</t>
  </si>
  <si>
    <t>ORD-0057</t>
  </si>
  <si>
    <t>2025-06-21</t>
  </si>
  <si>
    <t>ORD-0058</t>
  </si>
  <si>
    <t>2025-02-02</t>
  </si>
  <si>
    <t>ORD-0059</t>
  </si>
  <si>
    <t>2025-07-19</t>
  </si>
  <si>
    <t>ORD-0060</t>
  </si>
  <si>
    <t>2025-08-03</t>
  </si>
  <si>
    <t>ORD-0061</t>
  </si>
  <si>
    <t>2025-12-14</t>
  </si>
  <si>
    <t>ORD-0062</t>
  </si>
  <si>
    <t>2025-10-16</t>
  </si>
  <si>
    <t>ORD-0063</t>
  </si>
  <si>
    <t>2025-04-19</t>
  </si>
  <si>
    <t>ORD-0064</t>
  </si>
  <si>
    <t>2025-01-10</t>
  </si>
  <si>
    <t>ORD-0065</t>
  </si>
  <si>
    <t>2025-04-13</t>
  </si>
  <si>
    <t>ORD-0066</t>
  </si>
  <si>
    <t>2025-12-25</t>
  </si>
  <si>
    <t>ORD-0067</t>
  </si>
  <si>
    <t>2025-06-09</t>
  </si>
  <si>
    <t>ORD-0068</t>
  </si>
  <si>
    <t>2025-10-31</t>
  </si>
  <si>
    <t>ORD-0069</t>
  </si>
  <si>
    <t>2025-01-22</t>
  </si>
  <si>
    <t>ORD-0070</t>
  </si>
  <si>
    <t>2025-09-08</t>
  </si>
  <si>
    <t>ORD-0071</t>
  </si>
  <si>
    <t>2025-11-30</t>
  </si>
  <si>
    <t>ORD-0072</t>
  </si>
  <si>
    <t>2025-02-14</t>
  </si>
  <si>
    <t>ORD-0073</t>
  </si>
  <si>
    <t>2025-09-11</t>
  </si>
  <si>
    <t>ORD-0074</t>
  </si>
  <si>
    <t>2025-12-26</t>
  </si>
  <si>
    <t>ORD-0075</t>
  </si>
  <si>
    <t>2025-12-20</t>
  </si>
  <si>
    <t>ORD-0076</t>
  </si>
  <si>
    <t>2025-06-06</t>
  </si>
  <si>
    <t>ORD-0077</t>
  </si>
  <si>
    <t>ORD-0078</t>
  </si>
  <si>
    <t>ORD-0079</t>
  </si>
  <si>
    <t>2025-09-26</t>
  </si>
  <si>
    <t>ORD-0080</t>
  </si>
  <si>
    <t>2025-10-01</t>
  </si>
  <si>
    <t>ORD-0081</t>
  </si>
  <si>
    <t>2025-09-09</t>
  </si>
  <si>
    <t>ORD-0082</t>
  </si>
  <si>
    <t>2025-05-10</t>
  </si>
  <si>
    <t>ORD-0083</t>
  </si>
  <si>
    <t>2025-03-19</t>
  </si>
  <si>
    <t>ORD-0084</t>
  </si>
  <si>
    <t>2025-11-13</t>
  </si>
  <si>
    <t>ORD-0085</t>
  </si>
  <si>
    <t>2025-11-14</t>
  </si>
  <si>
    <t>ORD-0086</t>
  </si>
  <si>
    <t>2025-03-30</t>
  </si>
  <si>
    <t>ORD-0087</t>
  </si>
  <si>
    <t>2025-05-28</t>
  </si>
  <si>
    <t>ORD-0088</t>
  </si>
  <si>
    <t>2025-12-05</t>
  </si>
  <si>
    <t>ORD-0089</t>
  </si>
  <si>
    <t>2025-02-06</t>
  </si>
  <si>
    <t>ORD-0090</t>
  </si>
  <si>
    <t>2025-06-05</t>
  </si>
  <si>
    <t>ORD-0091</t>
  </si>
  <si>
    <t>2025-06-15</t>
  </si>
  <si>
    <t>ORD-0092</t>
  </si>
  <si>
    <t>2025-12-11</t>
  </si>
  <si>
    <t>ORD-0093</t>
  </si>
  <si>
    <t>ORD-0094</t>
  </si>
  <si>
    <t>2025-03-24</t>
  </si>
  <si>
    <t>ORD-0095</t>
  </si>
  <si>
    <t>ORD-0096</t>
  </si>
  <si>
    <t>2025-09-23</t>
  </si>
  <si>
    <t>ORD-0097</t>
  </si>
  <si>
    <t>2025-08-13</t>
  </si>
  <si>
    <t>ORD-0098</t>
  </si>
  <si>
    <t>2025-01-08</t>
  </si>
  <si>
    <t>ORD-0099</t>
  </si>
  <si>
    <t>2025-05-30</t>
  </si>
  <si>
    <t>ORD-0100</t>
  </si>
  <si>
    <t>2025-11-03</t>
  </si>
  <si>
    <t>ORD-0101</t>
  </si>
  <si>
    <t>2025-06-02</t>
  </si>
  <si>
    <t>ORD-0102</t>
  </si>
  <si>
    <t>2025-07-13</t>
  </si>
  <si>
    <t>ORD-0103</t>
  </si>
  <si>
    <t>ORD-0104</t>
  </si>
  <si>
    <t>ORD-0105</t>
  </si>
  <si>
    <t>2025-08-14</t>
  </si>
  <si>
    <t>ORD-0106</t>
  </si>
  <si>
    <t>2025-02-08</t>
  </si>
  <si>
    <t>ORD-0107</t>
  </si>
  <si>
    <t>ORD-0108</t>
  </si>
  <si>
    <t>ORD-0109</t>
  </si>
  <si>
    <t>2025-01-15</t>
  </si>
  <si>
    <t>ORD-0110</t>
  </si>
  <si>
    <t>ORD-0111</t>
  </si>
  <si>
    <t>ORD-0112</t>
  </si>
  <si>
    <t>2025-08-27</t>
  </si>
  <si>
    <t>ORD-0113</t>
  </si>
  <si>
    <t>ORD-0114</t>
  </si>
  <si>
    <t>ORD-0115</t>
  </si>
  <si>
    <t>2025-01-26</t>
  </si>
  <si>
    <t>ORD-0116</t>
  </si>
  <si>
    <t>ORD-0117</t>
  </si>
  <si>
    <t>2025-02-16</t>
  </si>
  <si>
    <t>ORD-0118</t>
  </si>
  <si>
    <t>2025-07-07</t>
  </si>
  <si>
    <t>ORD-0119</t>
  </si>
  <si>
    <t xml:space="preserve"> clothing </t>
  </si>
  <si>
    <t>ORD-0120</t>
  </si>
  <si>
    <t>2025-10-02</t>
  </si>
  <si>
    <t>ORD-0121</t>
  </si>
  <si>
    <t>2025-07-10</t>
  </si>
  <si>
    <t>ORD-0122</t>
  </si>
  <si>
    <t>2025-11-28</t>
  </si>
  <si>
    <t>ORD-0123</t>
  </si>
  <si>
    <t>ORD-0124</t>
  </si>
  <si>
    <t>2025-12-23</t>
  </si>
  <si>
    <t>ORD-0125</t>
  </si>
  <si>
    <t>2025-05-24</t>
  </si>
  <si>
    <t>ORD-0126</t>
  </si>
  <si>
    <t>2025-12-18</t>
  </si>
  <si>
    <t>ORD-0127</t>
  </si>
  <si>
    <t>2025-08-21</t>
  </si>
  <si>
    <t>ORD-0128</t>
  </si>
  <si>
    <t>2025-04-16</t>
  </si>
  <si>
    <t>ORD-0129</t>
  </si>
  <si>
    <t>2025-05-22</t>
  </si>
  <si>
    <t>ORD-0130</t>
  </si>
  <si>
    <t>ORD-0131</t>
  </si>
  <si>
    <t>ORD-0132</t>
  </si>
  <si>
    <t>2025-11-11</t>
  </si>
  <si>
    <t>ORD-0133</t>
  </si>
  <si>
    <t>ORD-0134</t>
  </si>
  <si>
    <t>2025-05-21</t>
  </si>
  <si>
    <t>ORD-0135</t>
  </si>
  <si>
    <t>2025-02-28</t>
  </si>
  <si>
    <t>ORD-0136</t>
  </si>
  <si>
    <t>2025-02-18</t>
  </si>
  <si>
    <t>ORD-0137</t>
  </si>
  <si>
    <t>2025-08-31</t>
  </si>
  <si>
    <t>ORD-0138</t>
  </si>
  <si>
    <t>2025-03-08</t>
  </si>
  <si>
    <t>ORD-0139</t>
  </si>
  <si>
    <t>ORD-0140</t>
  </si>
  <si>
    <t>ORD-0141</t>
  </si>
  <si>
    <t>2025-11-15</t>
  </si>
  <si>
    <t>ORD-0142</t>
  </si>
  <si>
    <t>2025-04-03</t>
  </si>
  <si>
    <t>ORD-0143</t>
  </si>
  <si>
    <t>ORD-0144</t>
  </si>
  <si>
    <t>2025-02-13</t>
  </si>
  <si>
    <t>ORD-0145</t>
  </si>
  <si>
    <t>2025-09-06</t>
  </si>
  <si>
    <t>ORD-0146</t>
  </si>
  <si>
    <t>ORD-0147</t>
  </si>
  <si>
    <t>ORD-0148</t>
  </si>
  <si>
    <t>ORD-0149</t>
  </si>
  <si>
    <t>2025-02-09</t>
  </si>
  <si>
    <t>ORD-0150</t>
  </si>
  <si>
    <t>2025-06-16</t>
  </si>
  <si>
    <t>ORD-0151</t>
  </si>
  <si>
    <t>ORD-0152</t>
  </si>
  <si>
    <t>2025-09-19</t>
  </si>
  <si>
    <t>ORD-0153</t>
  </si>
  <si>
    <t>ORD-0154</t>
  </si>
  <si>
    <t>2025-08-18</t>
  </si>
  <si>
    <t>ORD-0155</t>
  </si>
  <si>
    <t>ORD-0156</t>
  </si>
  <si>
    <t>2025-05-27</t>
  </si>
  <si>
    <t>ORD-0157</t>
  </si>
  <si>
    <t>ORD-0158</t>
  </si>
  <si>
    <t>2025-02-22</t>
  </si>
  <si>
    <t>ORD-0159</t>
  </si>
  <si>
    <t>2025-11-09</t>
  </si>
  <si>
    <t>ORD-0160</t>
  </si>
  <si>
    <t>2025-01-27</t>
  </si>
  <si>
    <t>ORD-0161</t>
  </si>
  <si>
    <t>2025-12-03</t>
  </si>
  <si>
    <t>ORD-0162</t>
  </si>
  <si>
    <t>2025-12-06</t>
  </si>
  <si>
    <t>ORD-0163</t>
  </si>
  <si>
    <t>2025-03-07</t>
  </si>
  <si>
    <t>ORD-0164</t>
  </si>
  <si>
    <t>ORD-0165</t>
  </si>
  <si>
    <t>2025-10-04</t>
  </si>
  <si>
    <t>ORD-0166</t>
  </si>
  <si>
    <t>2025-11-16</t>
  </si>
  <si>
    <t>ORD-0167</t>
  </si>
  <si>
    <t>ORD-0168</t>
  </si>
  <si>
    <t>ORD-0169</t>
  </si>
  <si>
    <t>2025-11-06</t>
  </si>
  <si>
    <t>ORD-0170</t>
  </si>
  <si>
    <t>2025-09-22</t>
  </si>
  <si>
    <t>ORD-0171</t>
  </si>
  <si>
    <t>2025-08-12</t>
  </si>
  <si>
    <t xml:space="preserve"> Smartphone </t>
  </si>
  <si>
    <t>ORD-0172</t>
  </si>
  <si>
    <t>ORD-0173</t>
  </si>
  <si>
    <t>2025-11-29</t>
  </si>
  <si>
    <t>ORD-0174</t>
  </si>
  <si>
    <t>2025-12-28</t>
  </si>
  <si>
    <t>ORD-0175</t>
  </si>
  <si>
    <t>2025-11-08</t>
  </si>
  <si>
    <t>ORD-0176</t>
  </si>
  <si>
    <t>ORD-0177</t>
  </si>
  <si>
    <t>2025-05-04</t>
  </si>
  <si>
    <t>ORD-0178</t>
  </si>
  <si>
    <t>2025-12-07</t>
  </si>
  <si>
    <t>ORD-0179</t>
  </si>
  <si>
    <t>2025-01-11</t>
  </si>
  <si>
    <t>ORD-0180</t>
  </si>
  <si>
    <t>2025-02-04</t>
  </si>
  <si>
    <t>ORD-0181</t>
  </si>
  <si>
    <t>2025-11-26</t>
  </si>
  <si>
    <t>ORD-0182</t>
  </si>
  <si>
    <t>2025-08-23</t>
  </si>
  <si>
    <t>ORD-0183</t>
  </si>
  <si>
    <t>2025-07-23</t>
  </si>
  <si>
    <t>ORD-0184</t>
  </si>
  <si>
    <t>2025-12-02</t>
  </si>
  <si>
    <t>ORD-0185</t>
  </si>
  <si>
    <t>2025-07-17</t>
  </si>
  <si>
    <t>ORD-0186</t>
  </si>
  <si>
    <t>2025-02-12</t>
  </si>
  <si>
    <t>ORD-0187</t>
  </si>
  <si>
    <t>2025-06-17</t>
  </si>
  <si>
    <t>ORD-0188</t>
  </si>
  <si>
    <t>ORD-0189</t>
  </si>
  <si>
    <t>2025-09-20</t>
  </si>
  <si>
    <t>ORD-0190</t>
  </si>
  <si>
    <t>ORD-0191</t>
  </si>
  <si>
    <t>2025-07-09</t>
  </si>
  <si>
    <t>ORD-0192</t>
  </si>
  <si>
    <t>2025-05-23</t>
  </si>
  <si>
    <t>ORD-0193</t>
  </si>
  <si>
    <t>2025-03-02</t>
  </si>
  <si>
    <t>ORD-0194</t>
  </si>
  <si>
    <t>ORD-0195</t>
  </si>
  <si>
    <t>2025-06-13</t>
  </si>
  <si>
    <t>ORD-0196</t>
  </si>
  <si>
    <t>ORD-0197</t>
  </si>
  <si>
    <t>ORD-0198</t>
  </si>
  <si>
    <t>2025-10-22</t>
  </si>
  <si>
    <t>ORD-0199</t>
  </si>
  <si>
    <t>ORD-0200</t>
  </si>
  <si>
    <t>ORD-0201</t>
  </si>
  <si>
    <t>ORD-0202</t>
  </si>
  <si>
    <t>2025-10-25</t>
  </si>
  <si>
    <t>ORD-0203</t>
  </si>
  <si>
    <t>2025-10-23</t>
  </si>
  <si>
    <t>ORD-0204</t>
  </si>
  <si>
    <t>2025-11-25</t>
  </si>
  <si>
    <t>ORD-0205</t>
  </si>
  <si>
    <t>ORD-0206</t>
  </si>
  <si>
    <t>ORD-0207</t>
  </si>
  <si>
    <t>ORD-0208</t>
  </si>
  <si>
    <t>2025-11-12</t>
  </si>
  <si>
    <t>ORD-0209</t>
  </si>
  <si>
    <t>2025-09-21</t>
  </si>
  <si>
    <t>ORD-0210</t>
  </si>
  <si>
    <t>ORD-0211</t>
  </si>
  <si>
    <t>ORD-0212</t>
  </si>
  <si>
    <t>2025-07-26</t>
  </si>
  <si>
    <t>ORD-0213</t>
  </si>
  <si>
    <t>2025-02-07</t>
  </si>
  <si>
    <t>ORD-0214</t>
  </si>
  <si>
    <t>2025-07-11</t>
  </si>
  <si>
    <t>ORD-0215</t>
  </si>
  <si>
    <t>2025-01-20</t>
  </si>
  <si>
    <t>ORD-0216</t>
  </si>
  <si>
    <t>ORD-0217</t>
  </si>
  <si>
    <t>2025-09-30</t>
  </si>
  <si>
    <t>ORD-0218</t>
  </si>
  <si>
    <t>ORD-0219</t>
  </si>
  <si>
    <t>2025-09-03</t>
  </si>
  <si>
    <t>ORD-0220</t>
  </si>
  <si>
    <t>ORD-0221</t>
  </si>
  <si>
    <t>2025-11-10</t>
  </si>
  <si>
    <t>ORD-0222</t>
  </si>
  <si>
    <t>27-09-2025</t>
  </si>
  <si>
    <t>ORD-0223</t>
  </si>
  <si>
    <t>2025-12-15</t>
  </si>
  <si>
    <t>ORD-0224</t>
  </si>
  <si>
    <t>ORD-0225</t>
  </si>
  <si>
    <t>ORD-0226</t>
  </si>
  <si>
    <t>ORD-0227</t>
  </si>
  <si>
    <t>ORD-0228</t>
  </si>
  <si>
    <t>2025-09-29</t>
  </si>
  <si>
    <t>ORD-0229</t>
  </si>
  <si>
    <t>2025-03-12</t>
  </si>
  <si>
    <t>ORD-0230</t>
  </si>
  <si>
    <t>ORD-0231</t>
  </si>
  <si>
    <t>ORD-0232</t>
  </si>
  <si>
    <t>2025-05-29</t>
  </si>
  <si>
    <t>ORD-0233</t>
  </si>
  <si>
    <t>ORD-0234</t>
  </si>
  <si>
    <t>ORD-0235</t>
  </si>
  <si>
    <t>2025-03-31</t>
  </si>
  <si>
    <t>ORD-0236</t>
  </si>
  <si>
    <t>ORD-0237</t>
  </si>
  <si>
    <t>2025-06-04</t>
  </si>
  <si>
    <t>ORD-0238</t>
  </si>
  <si>
    <t>ORD-0239</t>
  </si>
  <si>
    <t>ORD-0240</t>
  </si>
  <si>
    <t>2025-08-30</t>
  </si>
  <si>
    <t>ORD-0241</t>
  </si>
  <si>
    <t>ORD-0242</t>
  </si>
  <si>
    <t>ORD-0243</t>
  </si>
  <si>
    <t>ORD-0244</t>
  </si>
  <si>
    <t>ORD-0245</t>
  </si>
  <si>
    <t>2025-02-05</t>
  </si>
  <si>
    <t>ORD-0246</t>
  </si>
  <si>
    <t>ORD-0247</t>
  </si>
  <si>
    <t>ORD-0248</t>
  </si>
  <si>
    <t>2025-04-25</t>
  </si>
  <si>
    <t>ORD-0249</t>
  </si>
  <si>
    <t>2025-05-07</t>
  </si>
  <si>
    <t>ORD-0250</t>
  </si>
  <si>
    <t>ORD-0251</t>
  </si>
  <si>
    <t>2025-12-27</t>
  </si>
  <si>
    <t>ORD-0252</t>
  </si>
  <si>
    <t>2025-01-29</t>
  </si>
  <si>
    <t>ORD-0253</t>
  </si>
  <si>
    <t>2025-06-14</t>
  </si>
  <si>
    <t>ORD-0254</t>
  </si>
  <si>
    <t>2025-10-13</t>
  </si>
  <si>
    <t>ORD-0255</t>
  </si>
  <si>
    <t>2025-08-02</t>
  </si>
  <si>
    <t>ORD-0256</t>
  </si>
  <si>
    <t>ORD-0257</t>
  </si>
  <si>
    <t>2025-05-05</t>
  </si>
  <si>
    <t>ORD-0258</t>
  </si>
  <si>
    <t>ORD-0259</t>
  </si>
  <si>
    <t>2025-10-28</t>
  </si>
  <si>
    <t>ORD-0260</t>
  </si>
  <si>
    <t>ORD-0261</t>
  </si>
  <si>
    <t>ORD-0262</t>
  </si>
  <si>
    <t>2025-08-29</t>
  </si>
  <si>
    <t>ORD-0263</t>
  </si>
  <si>
    <t>2025-03-16</t>
  </si>
  <si>
    <t>ORD-0264</t>
  </si>
  <si>
    <t>2025-05-06</t>
  </si>
  <si>
    <t>ORD-0265</t>
  </si>
  <si>
    <t>ORD-0266</t>
  </si>
  <si>
    <t>2025-12-09</t>
  </si>
  <si>
    <t>ORD-0267</t>
  </si>
  <si>
    <t>2025-09-16</t>
  </si>
  <si>
    <t>ORD-0268</t>
  </si>
  <si>
    <t>ORD-0269</t>
  </si>
  <si>
    <t>2025-12-24</t>
  </si>
  <si>
    <t>ORD-0270</t>
  </si>
  <si>
    <t>ORD-0271</t>
  </si>
  <si>
    <t>ORD-0272</t>
  </si>
  <si>
    <t>2025-09-01</t>
  </si>
  <si>
    <t>ORD-0273</t>
  </si>
  <si>
    <t>ORD-0274</t>
  </si>
  <si>
    <t>2025-12-17</t>
  </si>
  <si>
    <t>ORD-0275</t>
  </si>
  <si>
    <t>2025-12-31</t>
  </si>
  <si>
    <t>ORD-0276</t>
  </si>
  <si>
    <t>2025-12-13</t>
  </si>
  <si>
    <t>ORD-0277</t>
  </si>
  <si>
    <t>2025-02-20</t>
  </si>
  <si>
    <t>ORD-0278</t>
  </si>
  <si>
    <t>ORD-0279</t>
  </si>
  <si>
    <t>2025-04-06</t>
  </si>
  <si>
    <t>ORD-0280</t>
  </si>
  <si>
    <t>2025-11-21</t>
  </si>
  <si>
    <t>ORD-0281</t>
  </si>
  <si>
    <t>2025-07-04</t>
  </si>
  <si>
    <t>ORD-0282</t>
  </si>
  <si>
    <t>ORD-0283</t>
  </si>
  <si>
    <t>ORD-0284</t>
  </si>
  <si>
    <t>ORD-0285</t>
  </si>
  <si>
    <t>2025-03-27</t>
  </si>
  <si>
    <t>ORD-0286</t>
  </si>
  <si>
    <t>2025-11-17</t>
  </si>
  <si>
    <t>ORD-0287</t>
  </si>
  <si>
    <t>ORD-0288</t>
  </si>
  <si>
    <t>2025-12-22</t>
  </si>
  <si>
    <t>ORD-0289</t>
  </si>
  <si>
    <t>ORD-0290</t>
  </si>
  <si>
    <t>ORD-0291</t>
  </si>
  <si>
    <t>ORD-0292</t>
  </si>
  <si>
    <t>ORD-0293</t>
  </si>
  <si>
    <t>2025-12-21</t>
  </si>
  <si>
    <t>ORD-0294</t>
  </si>
  <si>
    <t>ORD-0295</t>
  </si>
  <si>
    <t>2025-01-06</t>
  </si>
  <si>
    <t>ORD-0296</t>
  </si>
  <si>
    <t>2025-08-17</t>
  </si>
  <si>
    <t>ORD-0297</t>
  </si>
  <si>
    <t>2025-09-05</t>
  </si>
  <si>
    <t>ORD-0298</t>
  </si>
  <si>
    <t>ORD-0299</t>
  </si>
  <si>
    <t>2025-12-30</t>
  </si>
  <si>
    <t>ORD-0300</t>
  </si>
  <si>
    <r>
      <t>Clean Region</t>
    </r>
    <r>
      <rPr>
        <sz val="11"/>
        <color theme="1"/>
        <rFont val="Calibri"/>
        <family val="2"/>
        <scheme val="minor"/>
      </rPr>
      <t>.</t>
    </r>
  </si>
  <si>
    <t>Clean Category</t>
  </si>
  <si>
    <t>Clean Product</t>
  </si>
  <si>
    <t>Data Quality Status</t>
  </si>
  <si>
    <t>Data Quality Check</t>
  </si>
  <si>
    <t>Result</t>
  </si>
  <si>
    <t>Total Orders</t>
  </si>
  <si>
    <t>Missing Sales</t>
  </si>
  <si>
    <t>Missing Profit</t>
  </si>
  <si>
    <t>Missing Payment Mode</t>
  </si>
  <si>
    <t>Missing Customer Type</t>
  </si>
  <si>
    <t>Duplicate Order IDs</t>
  </si>
  <si>
    <t>Rows Requiring Review</t>
  </si>
  <si>
    <t>Clean Customer Type</t>
  </si>
  <si>
    <t>Clean Payment Mode</t>
  </si>
  <si>
    <t>Sales for Analysis</t>
  </si>
  <si>
    <t>Profit for Analysis</t>
  </si>
  <si>
    <t>Review</t>
  </si>
  <si>
    <t>Upi</t>
  </si>
  <si>
    <t>Row Labels</t>
  </si>
  <si>
    <t>Grand Total</t>
  </si>
  <si>
    <t>Sum of Sales</t>
  </si>
  <si>
    <t>Sum of Profit</t>
  </si>
  <si>
    <t>RETAIL SALES ANALYSIS DASHBOARD</t>
  </si>
  <si>
    <t>TOTAL SALES</t>
  </si>
  <si>
    <t>Total Profit</t>
  </si>
  <si>
    <t>Avg. Order Value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</si>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</sst>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
  </numFmts>
  <fonts count="9">
    <font>
      <sz val="11"/>
      <color theme="1"/>
      <name val="Calibri"/>
      <family val="2"/>
      <scheme val="minor"/>
    </font>
    <font>
      <b/>
      <sz val="11"/>
      <color rgb="FFFFFFFF"/>
      <name val="Calibri"/>
    </font>
    <font>
      <b/>
      <sz val="11"/>
      <color theme="1"/>
      <name val="Calibri"/>
      <family val="2"/>
      <scheme val="minor"/>
    </font>
    <font>
      <sz val="10"/>
      <color theme="1"/>
      <name val="Arial Unicode MS"/>
    </font>
    <font>
      <b/>
      <sz val="11"/>
      <color rgb="FFFFFFFF"/>
      <name val="Calibri"/>
      <family val="2"/>
    </font>
    <font>
      <sz val="11"/>
      <color theme="0"/>
      <name val="Calibri"/>
      <family val="2"/>
      <scheme val="minor"/>
    </font>
    <font>
      <b/>
      <sz val="16"/>
      <color theme="1"/>
      <name val="Calibri"/>
      <family val="2"/>
      <scheme val="minor"/>
    </font>
    <font>
      <b/>
      <sz val="18"/>
      <color theme="0"/>
      <name val="Calibri"/>
      <family val="2"/>
      <scheme val="minor"/>
    </font>
    <font>
      <sz val="16"/>
      <color theme="1"/>
      <name val="Calibri"/>
      <family val="2"/>
      <scheme val="minor"/>
    </font>
  </fonts>
  <fills count="6">
    <fill>
      <patternFill patternType="none"/>
    </fill>
    <fill>
      <patternFill patternType="gray125"/>
    </fill>
    <fill>
      <patternFill patternType="solid">
        <fgColor rgb="FF1F4E78"/>
      </patternFill>
    </fill>
    <fill>
      <patternFill patternType="solid">
        <fgColor theme="4" tint="0.59999389629810485"/>
        <bgColor indexed="64"/>
      </patternFill>
    </fill>
    <fill>
      <patternFill patternType="solid">
        <fgColor theme="3" tint="-0.249977111117893"/>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center"/>
    </xf>
    <xf numFmtId="0" fontId="3" fillId="0" borderId="0" xfId="0" applyFont="1"/>
    <xf numFmtId="0" fontId="0" fillId="0" borderId="1" xfId="0"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xf numFmtId="0" fontId="4" fillId="2"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7" fillId="4" borderId="0" xfId="0" applyFont="1" applyFill="1" applyAlignment="1">
      <alignment horizontal="center"/>
    </xf>
    <xf numFmtId="0" fontId="5" fillId="4" borderId="0" xfId="0" applyFont="1" applyFill="1" applyAlignment="1">
      <alignment horizontal="center"/>
    </xf>
    <xf numFmtId="0" fontId="6" fillId="5" borderId="1" xfId="0" applyFont="1" applyFill="1" applyBorder="1" applyAlignment="1">
      <alignment horizontal="center"/>
    </xf>
    <xf numFmtId="0" fontId="0" fillId="5" borderId="1" xfId="0" applyFill="1" applyBorder="1" applyAlignment="1">
      <alignment horizontal="center"/>
    </xf>
    <xf numFmtId="164" fontId="8" fillId="5" borderId="1" xfId="0" applyNumberFormat="1" applyFont="1" applyFill="1" applyBorder="1" applyAlignment="1">
      <alignment horizontal="center"/>
    </xf>
    <xf numFmtId="0" fontId="8" fillId="5" borderId="1" xfId="0"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Pivot_Analysis!$B$10</c:f>
              <c:strCache>
                <c:ptCount val="1"/>
                <c:pt idx="0">
                  <c:v>Total</c:v>
                </c:pt>
              </c:strCache>
            </c:strRef>
          </c:tx>
          <c:spPr>
            <a:solidFill>
              <a:schemeClr val="accent1"/>
            </a:solidFill>
            <a:ln>
              <a:noFill/>
            </a:ln>
            <a:effectLst/>
          </c:spPr>
          <c:invertIfNegative val="0"/>
          <c:cat>
            <c:strRef>
              <c:f>Pivot_Analysis!$A$11:$A$15</c:f>
              <c:strCache>
                <c:ptCount val="4"/>
                <c:pt idx="0">
                  <c:v>East</c:v>
                </c:pt>
                <c:pt idx="1">
                  <c:v>North</c:v>
                </c:pt>
                <c:pt idx="2">
                  <c:v>South</c:v>
                </c:pt>
                <c:pt idx="3">
                  <c:v>West</c:v>
                </c:pt>
              </c:strCache>
            </c:strRef>
          </c:cat>
          <c:val>
            <c:numRef>
              <c:f>Pivot_Analysis!$B$11:$B$15</c:f>
              <c:numCache>
                <c:formatCode>[$₹-4009]\ #,##0</c:formatCode>
                <c:ptCount val="4"/>
                <c:pt idx="0">
                  <c:v>2077591.9599999995</c:v>
                </c:pt>
                <c:pt idx="1">
                  <c:v>1846118.51</c:v>
                </c:pt>
                <c:pt idx="2">
                  <c:v>1424828.2799999996</c:v>
                </c:pt>
                <c:pt idx="3">
                  <c:v>1401920.0500000005</c:v>
                </c:pt>
              </c:numCache>
            </c:numRef>
          </c:val>
          <c:extLst>
            <c:ext xmlns:c16="http://schemas.microsoft.com/office/drawing/2014/chart" uri="{C3380CC4-5D6E-409C-BE32-E72D297353CC}">
              <c16:uniqueId val="{00000000-5ACD-447C-9E4A-DBB6698F7742}"/>
            </c:ext>
          </c:extLst>
        </c:ser>
        <c:dLbls>
          <c:showLegendKey val="0"/>
          <c:showVal val="0"/>
          <c:showCatName val="0"/>
          <c:showSerName val="0"/>
          <c:showPercent val="0"/>
          <c:showBubbleSize val="0"/>
        </c:dLbls>
        <c:gapWidth val="219"/>
        <c:overlap val="-27"/>
        <c:axId val="1413477440"/>
        <c:axId val="1248613424"/>
      </c:barChart>
      <c:catAx>
        <c:axId val="141347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13424"/>
        <c:crosses val="autoZero"/>
        <c:auto val="1"/>
        <c:lblAlgn val="ctr"/>
        <c:lblOffset val="100"/>
        <c:noMultiLvlLbl val="0"/>
      </c:catAx>
      <c:valAx>
        <c:axId val="1248613424"/>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47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Pivot_Analysis!$H$10</c:f>
              <c:strCache>
                <c:ptCount val="1"/>
                <c:pt idx="0">
                  <c:v>Total</c:v>
                </c:pt>
              </c:strCache>
            </c:strRef>
          </c:tx>
          <c:spPr>
            <a:solidFill>
              <a:schemeClr val="accent1"/>
            </a:solidFill>
            <a:ln>
              <a:noFill/>
            </a:ln>
            <a:effectLst/>
          </c:spPr>
          <c:invertIfNegative val="0"/>
          <c:cat>
            <c:strRef>
              <c:f>Pivot_Analysis!$G$11:$G$14</c:f>
              <c:strCache>
                <c:ptCount val="3"/>
                <c:pt idx="0">
                  <c:v>Clothing</c:v>
                </c:pt>
                <c:pt idx="1">
                  <c:v>Electronics</c:v>
                </c:pt>
                <c:pt idx="2">
                  <c:v>Home</c:v>
                </c:pt>
              </c:strCache>
            </c:strRef>
          </c:cat>
          <c:val>
            <c:numRef>
              <c:f>Pivot_Analysis!$H$11:$H$14</c:f>
              <c:numCache>
                <c:formatCode>[$₹-4009]\ #,##0</c:formatCode>
                <c:ptCount val="3"/>
                <c:pt idx="0">
                  <c:v>577541.94999999984</c:v>
                </c:pt>
                <c:pt idx="1">
                  <c:v>5202334.7300000014</c:v>
                </c:pt>
                <c:pt idx="2">
                  <c:v>970582.12000000023</c:v>
                </c:pt>
              </c:numCache>
            </c:numRef>
          </c:val>
          <c:extLst>
            <c:ext xmlns:c16="http://schemas.microsoft.com/office/drawing/2014/chart" uri="{C3380CC4-5D6E-409C-BE32-E72D297353CC}">
              <c16:uniqueId val="{00000000-FACA-41D8-95B3-1A186FE43AAE}"/>
            </c:ext>
          </c:extLst>
        </c:ser>
        <c:dLbls>
          <c:showLegendKey val="0"/>
          <c:showVal val="0"/>
          <c:showCatName val="0"/>
          <c:showSerName val="0"/>
          <c:showPercent val="0"/>
          <c:showBubbleSize val="0"/>
        </c:dLbls>
        <c:gapWidth val="219"/>
        <c:overlap val="-27"/>
        <c:axId val="1412414896"/>
        <c:axId val="1417704208"/>
      </c:barChart>
      <c:catAx>
        <c:axId val="14124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04208"/>
        <c:crosses val="autoZero"/>
        <c:auto val="1"/>
        <c:lblAlgn val="ctr"/>
        <c:lblOffset val="100"/>
        <c:noMultiLvlLbl val="0"/>
      </c:catAx>
      <c:valAx>
        <c:axId val="1417704208"/>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41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180975</xdr:rowOff>
    </xdr:from>
    <xdr:to>
      <xdr:col>6</xdr:col>
      <xdr:colOff>590550</xdr:colOff>
      <xdr:row>19</xdr:row>
      <xdr:rowOff>38100</xdr:rowOff>
    </xdr:to>
    <xdr:graphicFrame macro="">
      <xdr:nvGraphicFramePr>
        <xdr:cNvPr id="2" name="Chart 1">
          <a:extLst>
            <a:ext uri="{FF2B5EF4-FFF2-40B4-BE49-F238E27FC236}">
              <a16:creationId xmlns:a16="http://schemas.microsoft.com/office/drawing/2014/main" id="{89EC12D7-43C1-4CF1-87B1-C4262704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xdr:colOff>
      <xdr:row>7</xdr:row>
      <xdr:rowOff>171449</xdr:rowOff>
    </xdr:from>
    <xdr:to>
      <xdr:col>13</xdr:col>
      <xdr:colOff>133349</xdr:colOff>
      <xdr:row>19</xdr:row>
      <xdr:rowOff>28574</xdr:rowOff>
    </xdr:to>
    <xdr:graphicFrame macro="">
      <xdr:nvGraphicFramePr>
        <xdr:cNvPr id="3" name="Chart 2">
          <a:extLst>
            <a:ext uri="{FF2B5EF4-FFF2-40B4-BE49-F238E27FC236}">
              <a16:creationId xmlns:a16="http://schemas.microsoft.com/office/drawing/2014/main" id="{29E5DDD4-AC68-4915-BBA0-D3E75BE40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19</xdr:row>
      <xdr:rowOff>85725</xdr:rowOff>
    </xdr:from>
    <xdr:to>
      <xdr:col>2</xdr:col>
      <xdr:colOff>381000</xdr:colOff>
      <xdr:row>28</xdr:row>
      <xdr:rowOff>108585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59C3E55-2F23-4707-ADC1-6130E62571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 y="3781425"/>
              <a:ext cx="150495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19</xdr:row>
      <xdr:rowOff>95251</xdr:rowOff>
    </xdr:from>
    <xdr:to>
      <xdr:col>5</xdr:col>
      <xdr:colOff>38100</xdr:colOff>
      <xdr:row>28</xdr:row>
      <xdr:rowOff>118111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83A734F-BB88-4E43-B999-E3F785D0F4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3525" y="3790951"/>
              <a:ext cx="146685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xdr:colOff>
      <xdr:row>19</xdr:row>
      <xdr:rowOff>85725</xdr:rowOff>
    </xdr:from>
    <xdr:to>
      <xdr:col>7</xdr:col>
      <xdr:colOff>342900</xdr:colOff>
      <xdr:row>28</xdr:row>
      <xdr:rowOff>108585</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DF6BFB1F-5751-470A-A3A1-C8501E6C645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009900" y="3781425"/>
              <a:ext cx="1514475"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8.82423460648" createdVersion="8" refreshedVersion="8" minRefreshableVersion="3" recordCount="300" xr:uid="{61116F58-43FE-4D51-89D6-48D212B9AD4A}">
  <cacheSource type="worksheet">
    <worksheetSource name="tblSalesAnalysis"/>
  </cacheSource>
  <cacheFields count="11">
    <cacheField name="Order ID" numFmtId="0">
      <sharedItems/>
    </cacheField>
    <cacheField name="Order Date" numFmtId="0">
      <sharedItems/>
    </cacheField>
    <cacheField name="Region" numFmtId="0">
      <sharedItems count="4">
        <s v="North"/>
        <s v="South"/>
        <s v="West"/>
        <s v="East"/>
      </sharedItems>
    </cacheField>
    <cacheField name="Category" numFmtId="0">
      <sharedItems count="3">
        <s v="Home"/>
        <s v="Electronics"/>
        <s v="Clothing"/>
      </sharedItems>
    </cacheField>
    <cacheField name="Product" numFmtId="0">
      <sharedItems/>
    </cacheField>
    <cacheField name="Customer Type" numFmtId="0">
      <sharedItems count="3">
        <s v="New"/>
        <s v="Existing"/>
        <s v="Review"/>
      </sharedItems>
    </cacheField>
    <cacheField name="Quantity" numFmtId="0">
      <sharedItems containsSemiMixedTypes="0" containsString="0" containsNumber="1" containsInteger="1" minValue="1" maxValue="5"/>
    </cacheField>
    <cacheField name="Sales" numFmtId="0">
      <sharedItems containsMixedTypes="1" containsNumber="1" minValue="634.51" maxValue="273751.06"/>
    </cacheField>
    <cacheField name="Profit" numFmtId="0">
      <sharedItems containsMixedTypes="1" containsNumber="1" minValue="-8981.7000000000007" maxValue="37852.75"/>
    </cacheField>
    <cacheField name="Payment Mode" numFmtId="0">
      <sharedItems count="5">
        <s v="Net Banking"/>
        <s v="Card"/>
        <s v="Cash"/>
        <s v="Upi"/>
        <s v="Review"/>
      </sharedItems>
    </cacheField>
    <cacheField name="Data Quality Status" numFmtId="0">
      <sharedItems/>
    </cacheField>
  </cacheFields>
  <extLst>
    <ext xmlns:x14="http://schemas.microsoft.com/office/spreadsheetml/2009/9/main" uri="{725AE2AE-9491-48be-B2B4-4EB974FC3084}">
      <x14:pivotCacheDefinition pivotCacheId="2004782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s v="2025-03-13"/>
    <x v="0"/>
    <x v="0"/>
    <s v="Blender"/>
    <x v="0"/>
    <n v="1"/>
    <n v="3354.59"/>
    <n v="27.38"/>
    <x v="0"/>
    <s v="OK"/>
  </r>
  <r>
    <s v="ORD-0002"/>
    <s v="2025-01-14"/>
    <x v="1"/>
    <x v="1"/>
    <s v="Laptop"/>
    <x v="1"/>
    <n v="1"/>
    <n v="49073.83"/>
    <n v="5001.99"/>
    <x v="1"/>
    <s v="OK"/>
  </r>
  <r>
    <s v="ORD-0003"/>
    <s v="2025-03-23"/>
    <x v="2"/>
    <x v="2"/>
    <s v="Dress"/>
    <x v="1"/>
    <n v="3"/>
    <n v="6052.75"/>
    <n v="-470.06"/>
    <x v="2"/>
    <s v="OK"/>
  </r>
  <r>
    <s v="ORD-0004"/>
    <s v="2025-07-03"/>
    <x v="3"/>
    <x v="1"/>
    <s v="Headphones"/>
    <x v="1"/>
    <n v="3"/>
    <n v="6903.32"/>
    <n v="391.93"/>
    <x v="3"/>
    <s v="OK"/>
  </r>
  <r>
    <s v="ORD-0005"/>
    <s v="2025-02-10"/>
    <x v="3"/>
    <x v="0"/>
    <s v="Cookware Set"/>
    <x v="1"/>
    <n v="5"/>
    <n v="12949.51"/>
    <n v="3263.62"/>
    <x v="1"/>
    <s v="OK"/>
  </r>
  <r>
    <s v="ORD-0006"/>
    <s v="2025-02-10"/>
    <x v="1"/>
    <x v="0"/>
    <s v="Blender"/>
    <x v="0"/>
    <n v="1"/>
    <n v="3303.21"/>
    <n v="655.04"/>
    <x v="0"/>
    <s v="OK"/>
  </r>
  <r>
    <s v="ORD-0007"/>
    <s v="2025-12-10"/>
    <x v="3"/>
    <x v="2"/>
    <s v="Sneakers"/>
    <x v="0"/>
    <n v="3"/>
    <n v="9791.57"/>
    <n v="468.99"/>
    <x v="1"/>
    <s v="OK"/>
  </r>
  <r>
    <s v="ORD-0008"/>
    <s v="2025-11-24"/>
    <x v="1"/>
    <x v="0"/>
    <s v="Desk Lamp"/>
    <x v="1"/>
    <n v="2"/>
    <n v="1786.41"/>
    <n v="30.69"/>
    <x v="3"/>
    <s v="OK"/>
  </r>
  <r>
    <s v="ORD-0009"/>
    <s v="2025-10-18"/>
    <x v="3"/>
    <x v="1"/>
    <s v="Laptop"/>
    <x v="0"/>
    <n v="3"/>
    <n v="152916.34"/>
    <n v="-8589.6299999999992"/>
    <x v="0"/>
    <s v="OK"/>
  </r>
  <r>
    <s v="ORD-0010"/>
    <s v="2025-10-15"/>
    <x v="3"/>
    <x v="2"/>
    <s v="Sneakers"/>
    <x v="1"/>
    <n v="2"/>
    <n v="6670.83"/>
    <n v="58.61"/>
    <x v="0"/>
    <s v="OK"/>
  </r>
  <r>
    <s v="ORD-0011"/>
    <s v="2025-01-25"/>
    <x v="0"/>
    <x v="2"/>
    <s v="T-Shirt"/>
    <x v="0"/>
    <n v="2"/>
    <n v="1402.67"/>
    <n v="-66.31"/>
    <x v="1"/>
    <s v="OK"/>
  </r>
  <r>
    <s v="ORD-0012"/>
    <s v="2025-08-28"/>
    <x v="3"/>
    <x v="0"/>
    <s v="Cookware Set"/>
    <x v="0"/>
    <n v="5"/>
    <n v="12777.88"/>
    <n v="733.23"/>
    <x v="3"/>
    <s v="OK"/>
  </r>
  <r>
    <s v="ORD-0013"/>
    <s v="2025-05-31"/>
    <x v="2"/>
    <x v="0"/>
    <s v="Chair"/>
    <x v="0"/>
    <n v="3"/>
    <n v="14225.22"/>
    <n v="604.04999999999995"/>
    <x v="0"/>
    <s v="OK"/>
  </r>
  <r>
    <s v="ORD-0014"/>
    <s v="2025-02-24"/>
    <x v="3"/>
    <x v="1"/>
    <s v="Smartphone"/>
    <x v="0"/>
    <n v="5"/>
    <n v="147334.94"/>
    <n v="15140.93"/>
    <x v="1"/>
    <s v="OK"/>
  </r>
  <r>
    <s v="ORD-0015"/>
    <s v="2025-01-01"/>
    <x v="3"/>
    <x v="2"/>
    <s v="T-Shirt"/>
    <x v="1"/>
    <n v="5"/>
    <n v="3817.45"/>
    <n v="962.29"/>
    <x v="3"/>
    <s v="OK"/>
  </r>
  <r>
    <s v="ORD-0016"/>
    <s v="2025-10-18"/>
    <x v="0"/>
    <x v="1"/>
    <s v="Smartphone"/>
    <x v="0"/>
    <n v="3"/>
    <n v="79622.8"/>
    <n v="534.57000000000005"/>
    <x v="0"/>
    <s v="OK"/>
  </r>
  <r>
    <s v="ORD-0017"/>
    <s v="2025-10-09"/>
    <x v="1"/>
    <x v="1"/>
    <s v="Monitor"/>
    <x v="1"/>
    <n v="2"/>
    <n v="22216.28"/>
    <n v="2023.94"/>
    <x v="0"/>
    <s v="OK"/>
  </r>
  <r>
    <s v="ORD-0018"/>
    <s v="2025-12-10"/>
    <x v="3"/>
    <x v="1"/>
    <s v="Monitor"/>
    <x v="1"/>
    <n v="2"/>
    <n v="25022.16"/>
    <n v="1592.34"/>
    <x v="0"/>
    <s v="OK"/>
  </r>
  <r>
    <s v="ORD-0019"/>
    <s v="2025-10-11"/>
    <x v="1"/>
    <x v="1"/>
    <s v="Headphones"/>
    <x v="0"/>
    <n v="2"/>
    <n v="4564.03"/>
    <n v="-330.56"/>
    <x v="3"/>
    <s v="OK"/>
  </r>
  <r>
    <s v="ORD-0020"/>
    <s v="2025-06-19"/>
    <x v="0"/>
    <x v="1"/>
    <s v="Laptop"/>
    <x v="0"/>
    <n v="2"/>
    <n v="95001.93"/>
    <n v="-6525.81"/>
    <x v="2"/>
    <s v="OK"/>
  </r>
  <r>
    <s v="ORD-0021"/>
    <s v="2025-10-20"/>
    <x v="2"/>
    <x v="0"/>
    <s v="Cookware Set"/>
    <x v="0"/>
    <n v="2"/>
    <n v="5643.94"/>
    <n v="1018.21"/>
    <x v="0"/>
    <s v="OK"/>
  </r>
  <r>
    <s v="ORD-0022"/>
    <s v="2025-08-05"/>
    <x v="2"/>
    <x v="2"/>
    <s v="T-Shirt"/>
    <x v="1"/>
    <n v="1"/>
    <n v="643.57000000000005"/>
    <n v="48.38"/>
    <x v="3"/>
    <s v="OK"/>
  </r>
  <r>
    <s v="ORD-0023"/>
    <s v="2025-02-25"/>
    <x v="1"/>
    <x v="0"/>
    <s v="Blender"/>
    <x v="0"/>
    <n v="1"/>
    <n v="3137.68"/>
    <n v="132.25"/>
    <x v="1"/>
    <s v="OK"/>
  </r>
  <r>
    <s v="ORD-0024"/>
    <s v="2025-05-08"/>
    <x v="0"/>
    <x v="0"/>
    <s v="Cookware Set"/>
    <x v="1"/>
    <n v="2"/>
    <n v="5512.51"/>
    <n v="111.77"/>
    <x v="3"/>
    <s v="OK"/>
  </r>
  <r>
    <s v="ORD-0025"/>
    <s v="2025-05-02"/>
    <x v="1"/>
    <x v="1"/>
    <s v="Monitor"/>
    <x v="1"/>
    <n v="1"/>
    <n v="13125.59"/>
    <n v="3327.23"/>
    <x v="0"/>
    <s v="OK"/>
  </r>
  <r>
    <s v="ORD-0026"/>
    <s v="2025-01-02"/>
    <x v="2"/>
    <x v="2"/>
    <s v="T-Shirt"/>
    <x v="1"/>
    <n v="4"/>
    <n v="3025.37"/>
    <n v="-62.72"/>
    <x v="0"/>
    <s v="OK"/>
  </r>
  <r>
    <s v="ORD-0027"/>
    <s v="2025-04-08"/>
    <x v="3"/>
    <x v="2"/>
    <s v="Sneakers"/>
    <x v="0"/>
    <n v="5"/>
    <n v="18066.55"/>
    <n v="1719.97"/>
    <x v="3"/>
    <s v="OK"/>
  </r>
  <r>
    <s v="ORD-0028"/>
    <s v="2025-10-27"/>
    <x v="2"/>
    <x v="0"/>
    <s v="Chair"/>
    <x v="0"/>
    <n v="1"/>
    <n v="4723.18"/>
    <n v="-280.64999999999998"/>
    <x v="3"/>
    <s v="OK"/>
  </r>
  <r>
    <s v="ORD-0029"/>
    <s v="2025-05-01"/>
    <x v="2"/>
    <x v="0"/>
    <s v="Blender"/>
    <x v="0"/>
    <n v="2"/>
    <n v="5847.71"/>
    <n v="-324.75"/>
    <x v="1"/>
    <s v="OK"/>
  </r>
  <r>
    <s v="ORD-0030"/>
    <s v="2025-10-26"/>
    <x v="3"/>
    <x v="0"/>
    <s v="Chair"/>
    <x v="1"/>
    <n v="1"/>
    <n v="4607.4399999999996"/>
    <n v="326.76"/>
    <x v="1"/>
    <s v="OK"/>
  </r>
  <r>
    <s v="ORD-0031"/>
    <s v="2025-11-27"/>
    <x v="3"/>
    <x v="0"/>
    <s v="Bedsheet"/>
    <x v="1"/>
    <n v="2"/>
    <n v="2668.74"/>
    <n v="-87.76"/>
    <x v="2"/>
    <s v="OK"/>
  </r>
  <r>
    <s v="ORD-0032"/>
    <s v="2025-02-21"/>
    <x v="0"/>
    <x v="1"/>
    <s v="Laptop"/>
    <x v="0"/>
    <n v="4"/>
    <n v="213040.23"/>
    <n v="26135.29"/>
    <x v="2"/>
    <s v="OK"/>
  </r>
  <r>
    <s v="ORD-0033"/>
    <s v="2025-03-22"/>
    <x v="2"/>
    <x v="1"/>
    <s v="Smartphone"/>
    <x v="1"/>
    <n v="1"/>
    <n v="30123.91"/>
    <n v="1597.46"/>
    <x v="3"/>
    <s v="OK"/>
  </r>
  <r>
    <s v="ORD-0034"/>
    <s v="2025-03-10"/>
    <x v="3"/>
    <x v="0"/>
    <s v="Chair"/>
    <x v="0"/>
    <n v="3"/>
    <n v="14665.74"/>
    <n v="-626.36"/>
    <x v="3"/>
    <s v="OK"/>
  </r>
  <r>
    <s v="ORD-0035"/>
    <s v="2025-06-25"/>
    <x v="1"/>
    <x v="0"/>
    <s v="Chair"/>
    <x v="1"/>
    <n v="2"/>
    <n v="8590.23"/>
    <n v="1183.21"/>
    <x v="0"/>
    <s v="OK"/>
  </r>
  <r>
    <s v="ORD-0036"/>
    <s v="2025-01-23"/>
    <x v="0"/>
    <x v="2"/>
    <s v="Jacket"/>
    <x v="1"/>
    <n v="1"/>
    <n v="2259.09"/>
    <n v="493.76"/>
    <x v="1"/>
    <s v="OK"/>
  </r>
  <r>
    <s v="ORD-0037"/>
    <s v="2025-08-07"/>
    <x v="0"/>
    <x v="0"/>
    <s v="Bedsheet"/>
    <x v="0"/>
    <n v="2"/>
    <n v="2935.09"/>
    <n v="348.12"/>
    <x v="3"/>
    <s v="OK"/>
  </r>
  <r>
    <s v="ORD-0038"/>
    <s v="2025-10-10"/>
    <x v="1"/>
    <x v="0"/>
    <s v="Desk Lamp"/>
    <x v="1"/>
    <n v="5"/>
    <n v="4082.43"/>
    <n v="216.03"/>
    <x v="1"/>
    <s v="OK"/>
  </r>
  <r>
    <s v="ORD-0039"/>
    <s v="2025-01-21"/>
    <x v="3"/>
    <x v="1"/>
    <s v="Smartphone"/>
    <x v="0"/>
    <n v="3"/>
    <n v="90702.89"/>
    <n v="18739.580000000002"/>
    <x v="1"/>
    <s v="OK"/>
  </r>
  <r>
    <s v="ORD-0040"/>
    <s v="2025-07-28"/>
    <x v="1"/>
    <x v="0"/>
    <s v="Blender"/>
    <x v="0"/>
    <n v="3"/>
    <n v="10137.82"/>
    <n v="2415.73"/>
    <x v="1"/>
    <s v="OK"/>
  </r>
  <r>
    <s v="ORD-0041"/>
    <s v="2025-07-30"/>
    <x v="1"/>
    <x v="1"/>
    <s v="Keyboard"/>
    <x v="1"/>
    <n v="1"/>
    <n v="1684.57"/>
    <n v="425.89"/>
    <x v="1"/>
    <s v="OK"/>
  </r>
  <r>
    <s v="ORD-0042"/>
    <s v="2025-04-24"/>
    <x v="1"/>
    <x v="0"/>
    <s v="Blender"/>
    <x v="1"/>
    <n v="4"/>
    <n v="13752.75"/>
    <n v="3150.67"/>
    <x v="2"/>
    <s v="OK"/>
  </r>
  <r>
    <s v="ORD-0043"/>
    <s v="2025-06-18"/>
    <x v="3"/>
    <x v="2"/>
    <s v="T-Shirt"/>
    <x v="0"/>
    <n v="2"/>
    <n v="1266.6300000000001"/>
    <n v="-13.27"/>
    <x v="2"/>
    <s v="OK"/>
  </r>
  <r>
    <s v="ORD-0044"/>
    <s v="2025-06-19"/>
    <x v="0"/>
    <x v="2"/>
    <s v="Dress"/>
    <x v="0"/>
    <n v="4"/>
    <n v="7872.87"/>
    <n v="1761.3"/>
    <x v="2"/>
    <s v="OK"/>
  </r>
  <r>
    <s v="ORD-0045"/>
    <s v="26-06-2025"/>
    <x v="3"/>
    <x v="1"/>
    <s v="Monitor"/>
    <x v="1"/>
    <n v="3"/>
    <n v="32675.45"/>
    <n v="4403.53"/>
    <x v="3"/>
    <s v="OK"/>
  </r>
  <r>
    <s v="ORD-0046"/>
    <s v="2025-01-01"/>
    <x v="1"/>
    <x v="2"/>
    <s v="Dress"/>
    <x v="1"/>
    <n v="2"/>
    <n v="3613.59"/>
    <n v="632.97"/>
    <x v="0"/>
    <s v="OK"/>
  </r>
  <r>
    <s v="ORD-0047"/>
    <s v="2025-06-03"/>
    <x v="3"/>
    <x v="1"/>
    <s v="Smartphone"/>
    <x v="1"/>
    <n v="5"/>
    <n v="134789.64000000001"/>
    <n v="30366.15"/>
    <x v="2"/>
    <s v="OK"/>
  </r>
  <r>
    <s v="ORD-0048"/>
    <s v="2025-07-14"/>
    <x v="1"/>
    <x v="2"/>
    <s v="Jeans"/>
    <x v="1"/>
    <n v="5"/>
    <n v="7403.66"/>
    <n v="528.33000000000004"/>
    <x v="0"/>
    <s v="OK"/>
  </r>
  <r>
    <s v="ORD-0049"/>
    <s v="2025-10-24"/>
    <x v="3"/>
    <x v="0"/>
    <s v="Blender"/>
    <x v="1"/>
    <n v="3"/>
    <n v="9190.8700000000008"/>
    <n v="687.11"/>
    <x v="0"/>
    <s v="OK"/>
  </r>
  <r>
    <s v="ORD-0050"/>
    <s v="2025-03-28"/>
    <x v="0"/>
    <x v="2"/>
    <s v="T-Shirt"/>
    <x v="1"/>
    <n v="5"/>
    <n v="3481.23"/>
    <n v="850.9"/>
    <x v="2"/>
    <s v="OK"/>
  </r>
  <r>
    <s v="ORD-0051"/>
    <s v="2025-01-13"/>
    <x v="0"/>
    <x v="1"/>
    <s v="Headphones"/>
    <x v="0"/>
    <n v="3"/>
    <n v="7086.96"/>
    <n v="-58.92"/>
    <x v="0"/>
    <s v="OK"/>
  </r>
  <r>
    <s v="ORD-0052"/>
    <s v="2025-04-10"/>
    <x v="2"/>
    <x v="0"/>
    <s v="Blender"/>
    <x v="1"/>
    <n v="4"/>
    <n v="12580.97"/>
    <n v="1845.82"/>
    <x v="0"/>
    <s v="OK"/>
  </r>
  <r>
    <s v="ORD-0053"/>
    <s v="2025-02-24"/>
    <x v="2"/>
    <x v="1"/>
    <s v="Headphones"/>
    <x v="0"/>
    <n v="1"/>
    <n v="2696.33"/>
    <n v="619.51"/>
    <x v="1"/>
    <s v="OK"/>
  </r>
  <r>
    <s v="ORD-0054"/>
    <s v="2025-03-04"/>
    <x v="2"/>
    <x v="0"/>
    <s v="Chair"/>
    <x v="0"/>
    <n v="4"/>
    <n v="16380.79"/>
    <n v="159.08000000000001"/>
    <x v="0"/>
    <s v="OK"/>
  </r>
  <r>
    <s v="ORD-0055"/>
    <s v="2025-08-15"/>
    <x v="2"/>
    <x v="0"/>
    <s v="Chair"/>
    <x v="1"/>
    <n v="5"/>
    <n v="22929.54"/>
    <n v="6007.87"/>
    <x v="1"/>
    <s v="OK"/>
  </r>
  <r>
    <s v="ORD-0056"/>
    <s v="2025-11-23"/>
    <x v="3"/>
    <x v="0"/>
    <s v="Cookware Set"/>
    <x v="1"/>
    <n v="4"/>
    <n v="10660.59"/>
    <n v="96.01"/>
    <x v="1"/>
    <s v="OK"/>
  </r>
  <r>
    <s v="ORD-0057"/>
    <s v="2025-06-21"/>
    <x v="3"/>
    <x v="2"/>
    <s v="Sneakers"/>
    <x v="0"/>
    <n v="1"/>
    <n v="3649.48"/>
    <n v="16.12"/>
    <x v="1"/>
    <s v="OK"/>
  </r>
  <r>
    <s v="ORD-0058"/>
    <s v="2025-02-02"/>
    <x v="2"/>
    <x v="1"/>
    <s v="Headphones"/>
    <x v="1"/>
    <n v="4"/>
    <n v="10387.9"/>
    <n v="1810.72"/>
    <x v="2"/>
    <s v="OK"/>
  </r>
  <r>
    <s v="ORD-0059"/>
    <s v="2025-07-19"/>
    <x v="0"/>
    <x v="0"/>
    <s v="Cookware Set"/>
    <x v="1"/>
    <n v="4"/>
    <n v="10219.48"/>
    <n v="2246.66"/>
    <x v="0"/>
    <s v="OK"/>
  </r>
  <r>
    <s v="ORD-0060"/>
    <s v="2025-08-03"/>
    <x v="1"/>
    <x v="1"/>
    <s v="Smartphone"/>
    <x v="1"/>
    <n v="3"/>
    <n v="88258.38"/>
    <n v="20055.95"/>
    <x v="1"/>
    <s v="OK"/>
  </r>
  <r>
    <s v="ORD-0061"/>
    <s v="2025-12-14"/>
    <x v="2"/>
    <x v="2"/>
    <s v="Sneakers"/>
    <x v="0"/>
    <n v="4"/>
    <n v="12681.27"/>
    <n v="520.02"/>
    <x v="0"/>
    <s v="OK"/>
  </r>
  <r>
    <s v="ORD-0062"/>
    <s v="2025-10-16"/>
    <x v="0"/>
    <x v="1"/>
    <s v="Monitor"/>
    <x v="0"/>
    <n v="5"/>
    <n v="54323.6"/>
    <n v="3359.77"/>
    <x v="0"/>
    <s v="OK"/>
  </r>
  <r>
    <s v="ORD-0063"/>
    <s v="2025-04-19"/>
    <x v="2"/>
    <x v="1"/>
    <s v="Keyboard"/>
    <x v="1"/>
    <n v="2"/>
    <n v="3276.2"/>
    <n v="185.03"/>
    <x v="2"/>
    <s v="OK"/>
  </r>
  <r>
    <s v="ORD-0064"/>
    <s v="2025-01-10"/>
    <x v="0"/>
    <x v="2"/>
    <s v="Jeans"/>
    <x v="1"/>
    <n v="4"/>
    <n v="6082.91"/>
    <n v="-307.27"/>
    <x v="4"/>
    <s v="Review"/>
  </r>
  <r>
    <s v="ORD-0065"/>
    <s v="2025-04-13"/>
    <x v="0"/>
    <x v="0"/>
    <s v="Blender"/>
    <x v="0"/>
    <n v="1"/>
    <n v="3362.71"/>
    <n v="880.56"/>
    <x v="1"/>
    <s v="OK"/>
  </r>
  <r>
    <s v="ORD-0066"/>
    <s v="2025-12-25"/>
    <x v="3"/>
    <x v="1"/>
    <s v="Keyboard"/>
    <x v="1"/>
    <n v="1"/>
    <n v="1823.03"/>
    <n v="-2.79"/>
    <x v="1"/>
    <s v="OK"/>
  </r>
  <r>
    <s v="ORD-0067"/>
    <s v="2025-06-09"/>
    <x v="0"/>
    <x v="0"/>
    <s v="Chair"/>
    <x v="0"/>
    <n v="1"/>
    <n v="4750.01"/>
    <n v="-99.96"/>
    <x v="2"/>
    <s v="OK"/>
  </r>
  <r>
    <s v="ORD-0068"/>
    <s v="2025-10-31"/>
    <x v="1"/>
    <x v="0"/>
    <s v="Cookware Set"/>
    <x v="0"/>
    <n v="4"/>
    <n v="12188.89"/>
    <n v="-104.84"/>
    <x v="2"/>
    <s v="OK"/>
  </r>
  <r>
    <s v="ORD-0069"/>
    <s v="2025-01-22"/>
    <x v="3"/>
    <x v="0"/>
    <s v="Chair"/>
    <x v="1"/>
    <n v="1"/>
    <n v="4766.6000000000004"/>
    <n v="589.79999999999995"/>
    <x v="2"/>
    <s v="OK"/>
  </r>
  <r>
    <s v="ORD-0070"/>
    <s v="2025-09-08"/>
    <x v="0"/>
    <x v="1"/>
    <s v="Monitor"/>
    <x v="1"/>
    <n v="3"/>
    <n v="32491.1"/>
    <n v="2314.0500000000002"/>
    <x v="2"/>
    <s v="OK"/>
  </r>
  <r>
    <s v="ORD-0071"/>
    <s v="2025-11-30"/>
    <x v="3"/>
    <x v="0"/>
    <s v="Cookware Set"/>
    <x v="1"/>
    <n v="2"/>
    <n v="5527.75"/>
    <n v="1018.03"/>
    <x v="0"/>
    <s v="OK"/>
  </r>
  <r>
    <s v="ORD-0072"/>
    <s v="2025-02-14"/>
    <x v="3"/>
    <x v="2"/>
    <s v="Dress"/>
    <x v="1"/>
    <n v="3"/>
    <n v="5497.43"/>
    <n v="46.06"/>
    <x v="1"/>
    <s v="OK"/>
  </r>
  <r>
    <s v="ORD-0073"/>
    <s v="2025-09-11"/>
    <x v="3"/>
    <x v="2"/>
    <s v="Dress"/>
    <x v="0"/>
    <n v="5"/>
    <n v="9819.56"/>
    <n v="403.61"/>
    <x v="0"/>
    <s v="OK"/>
  </r>
  <r>
    <s v="ORD-0074"/>
    <s v="2025-12-26"/>
    <x v="3"/>
    <x v="1"/>
    <s v="Smartphone"/>
    <x v="0"/>
    <n v="3"/>
    <n v="81317.69"/>
    <n v="19265.400000000001"/>
    <x v="1"/>
    <s v="OK"/>
  </r>
  <r>
    <s v="ORD-0075"/>
    <s v="2025-12-20"/>
    <x v="2"/>
    <x v="1"/>
    <s v="Headphones"/>
    <x v="1"/>
    <n v="4"/>
    <n v="9977.16"/>
    <n v="1924.99"/>
    <x v="0"/>
    <s v="OK"/>
  </r>
  <r>
    <s v="ORD-0076"/>
    <s v="2025-06-06"/>
    <x v="3"/>
    <x v="1"/>
    <s v="Laptop"/>
    <x v="1"/>
    <n v="3"/>
    <n v="147313.81"/>
    <n v="24902.42"/>
    <x v="2"/>
    <s v="OK"/>
  </r>
  <r>
    <s v="ORD-0077"/>
    <s v="2025-06-06"/>
    <x v="3"/>
    <x v="2"/>
    <s v="Dress"/>
    <x v="0"/>
    <n v="3"/>
    <n v="5531.06"/>
    <n v="461"/>
    <x v="3"/>
    <s v="OK"/>
  </r>
  <r>
    <s v="ORD-0078"/>
    <s v="2025-12-20"/>
    <x v="1"/>
    <x v="0"/>
    <s v="Desk Lamp"/>
    <x v="0"/>
    <n v="3"/>
    <n v="2494.56"/>
    <n v="281.66000000000003"/>
    <x v="1"/>
    <s v="OK"/>
  </r>
  <r>
    <s v="ORD-0079"/>
    <s v="2025-09-26"/>
    <x v="3"/>
    <x v="0"/>
    <s v="Cookware Set"/>
    <x v="0"/>
    <n v="3"/>
    <n v="8777.2999999999993"/>
    <n v="2383.73"/>
    <x v="1"/>
    <s v="OK"/>
  </r>
  <r>
    <s v="ORD-0080"/>
    <s v="2025-10-01"/>
    <x v="1"/>
    <x v="2"/>
    <s v="T-Shirt"/>
    <x v="1"/>
    <n v="3"/>
    <n v="1965.37"/>
    <n v="-147.22"/>
    <x v="3"/>
    <s v="OK"/>
  </r>
  <r>
    <s v="ORD-0081"/>
    <s v="2025-09-09"/>
    <x v="0"/>
    <x v="1"/>
    <s v="Monitor"/>
    <x v="0"/>
    <n v="3"/>
    <n v="37421.410000000003"/>
    <n v="-1292.51"/>
    <x v="2"/>
    <s v="OK"/>
  </r>
  <r>
    <s v="ORD-0082"/>
    <s v="2025-05-10"/>
    <x v="2"/>
    <x v="2"/>
    <s v="Sneakers"/>
    <x v="0"/>
    <n v="4"/>
    <n v="13553.98"/>
    <n v="3626.76"/>
    <x v="3"/>
    <s v="OK"/>
  </r>
  <r>
    <s v="ORD-0083"/>
    <s v="2025-03-19"/>
    <x v="1"/>
    <x v="2"/>
    <s v="Sneakers"/>
    <x v="1"/>
    <n v="1"/>
    <n v="3553.91"/>
    <n v="593.94000000000005"/>
    <x v="3"/>
    <s v="OK"/>
  </r>
  <r>
    <s v="ORD-0084"/>
    <s v="2025-11-13"/>
    <x v="1"/>
    <x v="1"/>
    <s v="Laptop"/>
    <x v="1"/>
    <n v="5"/>
    <n v="273751.06"/>
    <n v="37852.75"/>
    <x v="0"/>
    <s v="OK"/>
  </r>
  <r>
    <s v="ORD-0085"/>
    <s v="2025-11-14"/>
    <x v="0"/>
    <x v="2"/>
    <s v="Jeans"/>
    <x v="0"/>
    <n v="5"/>
    <n v="8784.0499999999993"/>
    <n v="262.97000000000003"/>
    <x v="1"/>
    <s v="OK"/>
  </r>
  <r>
    <s v="ORD-0086"/>
    <s v="2025-03-30"/>
    <x v="0"/>
    <x v="0"/>
    <s v="Desk Lamp"/>
    <x v="0"/>
    <n v="3"/>
    <n v="2786.63"/>
    <n v="-65.37"/>
    <x v="3"/>
    <s v="OK"/>
  </r>
  <r>
    <s v="ORD-0087"/>
    <s v="2025-05-28"/>
    <x v="3"/>
    <x v="2"/>
    <s v="Sneakers"/>
    <x v="1"/>
    <n v="5"/>
    <n v="17394.689999999999"/>
    <n v="-1187.18"/>
    <x v="3"/>
    <s v="OK"/>
  </r>
  <r>
    <s v="ORD-0088"/>
    <s v="2025-12-05"/>
    <x v="1"/>
    <x v="0"/>
    <s v="Desk Lamp"/>
    <x v="1"/>
    <n v="3"/>
    <n v="2855.43"/>
    <n v="414.1"/>
    <x v="3"/>
    <s v="OK"/>
  </r>
  <r>
    <s v="ORD-0089"/>
    <s v="2025-02-06"/>
    <x v="0"/>
    <x v="0"/>
    <s v="Desk Lamp"/>
    <x v="0"/>
    <n v="2"/>
    <n v="1947.03"/>
    <n v="423.65"/>
    <x v="2"/>
    <s v="OK"/>
  </r>
  <r>
    <s v="ORD-0090"/>
    <s v="2025-06-05"/>
    <x v="2"/>
    <x v="0"/>
    <s v="Chair"/>
    <x v="1"/>
    <n v="3"/>
    <n v="13335.71"/>
    <n v="1183.29"/>
    <x v="0"/>
    <s v="OK"/>
  </r>
  <r>
    <s v="ORD-0091"/>
    <s v="2025-06-15"/>
    <x v="3"/>
    <x v="2"/>
    <s v="Jacket"/>
    <x v="2"/>
    <n v="5"/>
    <n v="9987.69"/>
    <n v="754.37"/>
    <x v="3"/>
    <s v="Review"/>
  </r>
  <r>
    <s v="ORD-0092"/>
    <s v="2025-12-11"/>
    <x v="3"/>
    <x v="1"/>
    <s v="Monitor"/>
    <x v="0"/>
    <n v="5"/>
    <n v="65409.440000000002"/>
    <n v="18304.57"/>
    <x v="1"/>
    <s v="OK"/>
  </r>
  <r>
    <s v="ORD-0093"/>
    <s v="2025-10-27"/>
    <x v="2"/>
    <x v="2"/>
    <s v="Dress"/>
    <x v="1"/>
    <n v="4"/>
    <n v="8232.43"/>
    <n v="-120.72"/>
    <x v="3"/>
    <s v="OK"/>
  </r>
  <r>
    <s v="ORD-0094"/>
    <s v="2025-03-24"/>
    <x v="3"/>
    <x v="2"/>
    <s v="Jeans"/>
    <x v="1"/>
    <n v="4"/>
    <n v="6186.63"/>
    <n v="997.58"/>
    <x v="0"/>
    <s v="OK"/>
  </r>
  <r>
    <s v="ORD-0095"/>
    <s v="2025-05-10"/>
    <x v="3"/>
    <x v="2"/>
    <s v="Sneakers"/>
    <x v="0"/>
    <n v="5"/>
    <n v="15878.44"/>
    <n v="-766.9"/>
    <x v="0"/>
    <s v="OK"/>
  </r>
  <r>
    <s v="ORD-0096"/>
    <s v="2025-09-23"/>
    <x v="3"/>
    <x v="0"/>
    <s v="Blender"/>
    <x v="1"/>
    <n v="5"/>
    <n v="15878.32"/>
    <n v="-960.42"/>
    <x v="0"/>
    <s v="OK"/>
  </r>
  <r>
    <s v="ORD-0097"/>
    <s v="2025-08-13"/>
    <x v="2"/>
    <x v="1"/>
    <s v="Headphones"/>
    <x v="0"/>
    <n v="3"/>
    <n v="7573.83"/>
    <n v="1923.47"/>
    <x v="3"/>
    <s v="OK"/>
  </r>
  <r>
    <s v="ORD-0098"/>
    <s v="2025-01-08"/>
    <x v="2"/>
    <x v="0"/>
    <s v="Chair"/>
    <x v="0"/>
    <n v="2"/>
    <n v="9377.61"/>
    <n v="298.86"/>
    <x v="1"/>
    <s v="OK"/>
  </r>
  <r>
    <s v="ORD-0099"/>
    <s v="2025-05-30"/>
    <x v="3"/>
    <x v="1"/>
    <s v="Keyboard"/>
    <x v="1"/>
    <n v="1"/>
    <n v="1853.18"/>
    <n v="-45.53"/>
    <x v="0"/>
    <s v="OK"/>
  </r>
  <r>
    <s v="ORD-0100"/>
    <s v="2025-11-03"/>
    <x v="1"/>
    <x v="2"/>
    <s v="T-Shirt"/>
    <x v="0"/>
    <n v="4"/>
    <n v="2828.71"/>
    <n v="164.32"/>
    <x v="2"/>
    <s v="OK"/>
  </r>
  <r>
    <s v="ORD-0101"/>
    <s v="2025-06-02"/>
    <x v="2"/>
    <x v="2"/>
    <s v="Jeans"/>
    <x v="0"/>
    <n v="5"/>
    <n v="7627.48"/>
    <n v="-603.15"/>
    <x v="0"/>
    <s v="OK"/>
  </r>
  <r>
    <s v="ORD-0102"/>
    <s v="2025-07-13"/>
    <x v="2"/>
    <x v="0"/>
    <s v="Cookware Set"/>
    <x v="1"/>
    <n v="3"/>
    <n v="8118.5"/>
    <n v="1580.14"/>
    <x v="1"/>
    <s v="OK"/>
  </r>
  <r>
    <s v="ORD-0103"/>
    <s v="2025-07-30"/>
    <x v="0"/>
    <x v="0"/>
    <s v="Desk Lamp"/>
    <x v="1"/>
    <n v="5"/>
    <n v="4394.67"/>
    <n v="1002.71"/>
    <x v="0"/>
    <s v="OK"/>
  </r>
  <r>
    <s v="ORD-0104"/>
    <s v="2025-11-30"/>
    <x v="1"/>
    <x v="0"/>
    <s v="Cookware Set"/>
    <x v="1"/>
    <n v="4"/>
    <n v="12294.05"/>
    <n v="2523.5"/>
    <x v="3"/>
    <s v="OK"/>
  </r>
  <r>
    <s v="ORD-0105"/>
    <s v="2025-08-14"/>
    <x v="0"/>
    <x v="1"/>
    <s v="Monitor"/>
    <x v="1"/>
    <n v="5"/>
    <n v="57983.94"/>
    <n v="-2543.6799999999998"/>
    <x v="3"/>
    <s v="OK"/>
  </r>
  <r>
    <s v="ORD-0106"/>
    <s v="2025-02-08"/>
    <x v="2"/>
    <x v="0"/>
    <s v="Desk Lamp"/>
    <x v="1"/>
    <n v="4"/>
    <n v="3867.07"/>
    <n v="1040.96"/>
    <x v="2"/>
    <s v="OK"/>
  </r>
  <r>
    <s v="ORD-0107"/>
    <s v="2025-10-01"/>
    <x v="2"/>
    <x v="0"/>
    <s v="Cookware Set"/>
    <x v="1"/>
    <n v="1"/>
    <n v="2996.99"/>
    <n v="679.85"/>
    <x v="0"/>
    <s v="OK"/>
  </r>
  <r>
    <s v="ORD-0108"/>
    <s v="2025-05-28"/>
    <x v="1"/>
    <x v="0"/>
    <s v="Blender"/>
    <x v="0"/>
    <n v="5"/>
    <n v="14618.95"/>
    <n v="2152.17"/>
    <x v="0"/>
    <s v="OK"/>
  </r>
  <r>
    <s v="ORD-0109"/>
    <s v="2025-01-15"/>
    <x v="0"/>
    <x v="1"/>
    <s v="Laptop"/>
    <x v="1"/>
    <n v="4"/>
    <n v="194120.78"/>
    <n v="5398.07"/>
    <x v="3"/>
    <s v="OK"/>
  </r>
  <r>
    <s v="ORD-0110"/>
    <s v="2025-07-30"/>
    <x v="1"/>
    <x v="2"/>
    <s v="Jeans"/>
    <x v="0"/>
    <n v="3"/>
    <n v="4733.46"/>
    <n v="37.450000000000003"/>
    <x v="1"/>
    <s v="OK"/>
  </r>
  <r>
    <s v="ORD-0111"/>
    <s v="2025-10-26"/>
    <x v="1"/>
    <x v="1"/>
    <s v="Monitor"/>
    <x v="0"/>
    <n v="4"/>
    <n v="49149.22"/>
    <n v="329.24"/>
    <x v="0"/>
    <s v="OK"/>
  </r>
  <r>
    <s v="ORD-0112"/>
    <s v="2025-08-27"/>
    <x v="3"/>
    <x v="0"/>
    <s v="Bedsheet"/>
    <x v="0"/>
    <n v="4"/>
    <n v="5325.97"/>
    <n v="-408.06"/>
    <x v="3"/>
    <s v="OK"/>
  </r>
  <r>
    <s v="ORD-0113"/>
    <s v="2025-12-20"/>
    <x v="3"/>
    <x v="2"/>
    <s v="Jeans"/>
    <x v="1"/>
    <n v="5"/>
    <n v="7678.65"/>
    <n v="2045.06"/>
    <x v="2"/>
    <s v="OK"/>
  </r>
  <r>
    <s v="ORD-0114"/>
    <s v="2025-07-03"/>
    <x v="3"/>
    <x v="1"/>
    <s v="Keyboard"/>
    <x v="1"/>
    <n v="4"/>
    <n v="6633.58"/>
    <n v="380.05"/>
    <x v="3"/>
    <s v="OK"/>
  </r>
  <r>
    <s v="ORD-0115"/>
    <s v="2025-01-26"/>
    <x v="2"/>
    <x v="0"/>
    <s v="Cookware Set"/>
    <x v="1"/>
    <n v="3"/>
    <n v="7573.6"/>
    <n v="1752.71"/>
    <x v="1"/>
    <s v="OK"/>
  </r>
  <r>
    <s v="ORD-0116"/>
    <s v="2025-12-14"/>
    <x v="1"/>
    <x v="0"/>
    <s v="Bedsheet"/>
    <x v="0"/>
    <n v="2"/>
    <n v="2876.51"/>
    <n v="412.84"/>
    <x v="3"/>
    <s v="OK"/>
  </r>
  <r>
    <s v="ORD-0117"/>
    <s v="2025-02-16"/>
    <x v="3"/>
    <x v="2"/>
    <s v="Sneakers"/>
    <x v="1"/>
    <n v="1"/>
    <n v="3555.7"/>
    <n v="653"/>
    <x v="0"/>
    <s v="OK"/>
  </r>
  <r>
    <s v="ORD-0118"/>
    <s v="2025-07-07"/>
    <x v="3"/>
    <x v="1"/>
    <s v="Headphones"/>
    <x v="0"/>
    <n v="2"/>
    <n v="5286.51"/>
    <n v="1245.1099999999999"/>
    <x v="2"/>
    <s v="OK"/>
  </r>
  <r>
    <s v="ORD-0119"/>
    <s v="2025-02-08"/>
    <x v="1"/>
    <x v="2"/>
    <s v="Jeans"/>
    <x v="0"/>
    <n v="3"/>
    <n v="5092.0600000000004"/>
    <n v="451.15"/>
    <x v="0"/>
    <s v="OK"/>
  </r>
  <r>
    <s v="ORD-0120"/>
    <s v="2025-10-02"/>
    <x v="0"/>
    <x v="0"/>
    <s v="Bedsheet"/>
    <x v="1"/>
    <n v="1"/>
    <n v="1481.39"/>
    <n v="-111.09"/>
    <x v="2"/>
    <s v="OK"/>
  </r>
  <r>
    <s v="ORD-0121"/>
    <s v="2025-07-10"/>
    <x v="0"/>
    <x v="0"/>
    <s v="Bedsheet"/>
    <x v="0"/>
    <n v="5"/>
    <n v="6833.44"/>
    <n v="1024.18"/>
    <x v="0"/>
    <s v="OK"/>
  </r>
  <r>
    <s v="ORD-0122"/>
    <s v="2025-11-28"/>
    <x v="0"/>
    <x v="1"/>
    <s v="Monitor"/>
    <x v="1"/>
    <n v="5"/>
    <n v="57936.08"/>
    <n v="8089.59"/>
    <x v="2"/>
    <s v="OK"/>
  </r>
  <r>
    <s v="ORD-0123"/>
    <s v="2025-06-05"/>
    <x v="2"/>
    <x v="0"/>
    <s v="Cookware Set"/>
    <x v="0"/>
    <n v="1"/>
    <n v="2598.2800000000002"/>
    <n v="677.25"/>
    <x v="3"/>
    <s v="OK"/>
  </r>
  <r>
    <s v="ORD-0124"/>
    <s v="2025-12-23"/>
    <x v="2"/>
    <x v="1"/>
    <s v="Monitor"/>
    <x v="0"/>
    <n v="2"/>
    <n v="23465.5"/>
    <n v="1256.9100000000001"/>
    <x v="0"/>
    <s v="OK"/>
  </r>
  <r>
    <s v="ORD-0125"/>
    <s v="2025-05-24"/>
    <x v="0"/>
    <x v="0"/>
    <s v="Blender"/>
    <x v="1"/>
    <n v="4"/>
    <n v="13096.07"/>
    <n v="3379.56"/>
    <x v="1"/>
    <s v="OK"/>
  </r>
  <r>
    <s v="ORD-0126"/>
    <s v="2025-12-18"/>
    <x v="3"/>
    <x v="2"/>
    <s v="Sneakers"/>
    <x v="1"/>
    <n v="2"/>
    <n v="7497.63"/>
    <n v="-331.64"/>
    <x v="3"/>
    <s v="OK"/>
  </r>
  <r>
    <s v="ORD-0127"/>
    <s v="2025-08-21"/>
    <x v="0"/>
    <x v="2"/>
    <s v="Jeans"/>
    <x v="0"/>
    <n v="2"/>
    <n v="3499.65"/>
    <n v="915.66"/>
    <x v="3"/>
    <s v="OK"/>
  </r>
  <r>
    <s v="ORD-0128"/>
    <s v="2025-04-16"/>
    <x v="0"/>
    <x v="1"/>
    <s v="Smartphone"/>
    <x v="0"/>
    <n v="2"/>
    <n v="61474.79"/>
    <n v="12498.57"/>
    <x v="1"/>
    <s v="OK"/>
  </r>
  <r>
    <s v="ORD-0129"/>
    <s v="2025-05-22"/>
    <x v="1"/>
    <x v="1"/>
    <s v="Smartphone"/>
    <x v="0"/>
    <n v="2"/>
    <n v="59232.81"/>
    <n v="7969.98"/>
    <x v="2"/>
    <s v="OK"/>
  </r>
  <r>
    <s v="ORD-0130"/>
    <s v="2025-05-02"/>
    <x v="3"/>
    <x v="1"/>
    <s v="Laptop"/>
    <x v="0"/>
    <n v="1"/>
    <n v="48170.75"/>
    <n v="2358.79"/>
    <x v="1"/>
    <s v="OK"/>
  </r>
  <r>
    <s v="ORD-0131"/>
    <s v="2025-02-02"/>
    <x v="2"/>
    <x v="2"/>
    <s v="Jacket"/>
    <x v="1"/>
    <n v="2"/>
    <n v="4612.71"/>
    <n v="504.59"/>
    <x v="2"/>
    <s v="OK"/>
  </r>
  <r>
    <s v="ORD-0132"/>
    <s v="2025-11-11"/>
    <x v="0"/>
    <x v="0"/>
    <s v="Chair"/>
    <x v="1"/>
    <n v="1"/>
    <n v="4456.8"/>
    <n v="-1.08"/>
    <x v="0"/>
    <s v="OK"/>
  </r>
  <r>
    <s v="ORD-0133"/>
    <s v="2025-08-07"/>
    <x v="0"/>
    <x v="0"/>
    <s v="Blender"/>
    <x v="1"/>
    <n v="1"/>
    <n v="3519.1"/>
    <n v="791.89"/>
    <x v="0"/>
    <s v="OK"/>
  </r>
  <r>
    <s v="ORD-0134"/>
    <s v="2025-05-21"/>
    <x v="3"/>
    <x v="1"/>
    <s v="Laptop"/>
    <x v="1"/>
    <n v="3"/>
    <n v="159378.88"/>
    <n v="-8981.7000000000007"/>
    <x v="2"/>
    <s v="OK"/>
  </r>
  <r>
    <s v="ORD-0135"/>
    <s v="2025-02-28"/>
    <x v="1"/>
    <x v="2"/>
    <s v="Dress"/>
    <x v="1"/>
    <n v="5"/>
    <n v="9367.3799999999992"/>
    <n v="1925.13"/>
    <x v="0"/>
    <s v="OK"/>
  </r>
  <r>
    <s v="ORD-0136"/>
    <s v="2025-02-18"/>
    <x v="3"/>
    <x v="1"/>
    <s v="Keyboard"/>
    <x v="1"/>
    <n v="3"/>
    <n v="5753.61"/>
    <n v="365.6"/>
    <x v="2"/>
    <s v="OK"/>
  </r>
  <r>
    <s v="ORD-0137"/>
    <s v="2025-08-31"/>
    <x v="0"/>
    <x v="0"/>
    <s v="Bedsheet"/>
    <x v="0"/>
    <n v="3"/>
    <s v=""/>
    <n v="766.2"/>
    <x v="3"/>
    <s v="Review"/>
  </r>
  <r>
    <s v="ORD-0138"/>
    <s v="2025-03-08"/>
    <x v="0"/>
    <x v="1"/>
    <s v="Keyboard"/>
    <x v="1"/>
    <n v="1"/>
    <n v="1888.05"/>
    <n v="102.24"/>
    <x v="3"/>
    <s v="OK"/>
  </r>
  <r>
    <s v="ORD-0139"/>
    <s v="2025-05-28"/>
    <x v="3"/>
    <x v="2"/>
    <s v="Jeans"/>
    <x v="1"/>
    <n v="4"/>
    <n v="6871.16"/>
    <n v="1233.94"/>
    <x v="3"/>
    <s v="OK"/>
  </r>
  <r>
    <s v="ORD-0140"/>
    <s v="2025-02-25"/>
    <x v="3"/>
    <x v="0"/>
    <s v="Chair"/>
    <x v="1"/>
    <n v="2"/>
    <n v="8378.51"/>
    <n v="784.13"/>
    <x v="3"/>
    <s v="OK"/>
  </r>
  <r>
    <s v="ORD-0141"/>
    <s v="2025-11-15"/>
    <x v="0"/>
    <x v="2"/>
    <s v="Dress"/>
    <x v="1"/>
    <n v="2"/>
    <n v="4033.49"/>
    <n v="904.53"/>
    <x v="3"/>
    <s v="OK"/>
  </r>
  <r>
    <s v="ORD-0142"/>
    <s v="2025-04-03"/>
    <x v="1"/>
    <x v="1"/>
    <s v="Smartphone"/>
    <x v="1"/>
    <n v="3"/>
    <n v="91081.83"/>
    <n v="4223.32"/>
    <x v="3"/>
    <s v="OK"/>
  </r>
  <r>
    <s v="ORD-0143"/>
    <s v="2025-08-03"/>
    <x v="2"/>
    <x v="1"/>
    <s v="Laptop"/>
    <x v="1"/>
    <n v="1"/>
    <n v="54559.56"/>
    <n v="-139.24"/>
    <x v="1"/>
    <s v="OK"/>
  </r>
  <r>
    <s v="ORD-0144"/>
    <s v="2025-02-13"/>
    <x v="0"/>
    <x v="2"/>
    <s v="Jeans"/>
    <x v="0"/>
    <n v="3"/>
    <n v="5065.76"/>
    <n v="629.84"/>
    <x v="1"/>
    <s v="OK"/>
  </r>
  <r>
    <s v="ORD-0145"/>
    <s v="2025-09-06"/>
    <x v="2"/>
    <x v="0"/>
    <s v="Blender"/>
    <x v="1"/>
    <n v="1"/>
    <n v="3054.15"/>
    <n v="483.47"/>
    <x v="2"/>
    <s v="OK"/>
  </r>
  <r>
    <s v="ORD-0146"/>
    <s v="2025-12-14"/>
    <x v="2"/>
    <x v="1"/>
    <s v="Monitor"/>
    <x v="1"/>
    <n v="1"/>
    <n v="11628.41"/>
    <n v="-466.06"/>
    <x v="3"/>
    <s v="OK"/>
  </r>
  <r>
    <s v="ORD-0147"/>
    <s v="2025-04-19"/>
    <x v="1"/>
    <x v="1"/>
    <s v="Keyboard"/>
    <x v="1"/>
    <n v="5"/>
    <n v="8198.61"/>
    <n v="-52.53"/>
    <x v="2"/>
    <s v="OK"/>
  </r>
  <r>
    <s v="ORD-0148"/>
    <s v="2025-03-08"/>
    <x v="2"/>
    <x v="2"/>
    <s v="Jacket"/>
    <x v="0"/>
    <n v="1"/>
    <n v="2198.85"/>
    <n v="164.99"/>
    <x v="2"/>
    <s v="OK"/>
  </r>
  <r>
    <s v="ORD-0149"/>
    <s v="2025-02-09"/>
    <x v="3"/>
    <x v="1"/>
    <s v="Keyboard"/>
    <x v="1"/>
    <n v="1"/>
    <n v="1777.04"/>
    <n v="151.96"/>
    <x v="0"/>
    <s v="OK"/>
  </r>
  <r>
    <s v="ORD-0150"/>
    <s v="2025-06-16"/>
    <x v="1"/>
    <x v="0"/>
    <s v="Cookware Set"/>
    <x v="1"/>
    <n v="3"/>
    <n v="7753.49"/>
    <n v="-562.05999999999995"/>
    <x v="2"/>
    <s v="OK"/>
  </r>
  <r>
    <s v="ORD-0151"/>
    <s v="2025-09-26"/>
    <x v="0"/>
    <x v="1"/>
    <s v="Keyboard"/>
    <x v="1"/>
    <n v="1"/>
    <n v="1707.59"/>
    <n v="225.39"/>
    <x v="2"/>
    <s v="OK"/>
  </r>
  <r>
    <s v="ORD-0152"/>
    <s v="2025-09-19"/>
    <x v="0"/>
    <x v="0"/>
    <s v="Bedsheet"/>
    <x v="0"/>
    <n v="2"/>
    <n v="2706.52"/>
    <n v="-52.7"/>
    <x v="2"/>
    <s v="OK"/>
  </r>
  <r>
    <s v="ORD-0153"/>
    <s v="2025-03-30"/>
    <x v="1"/>
    <x v="2"/>
    <s v="T-Shirt"/>
    <x v="0"/>
    <n v="2"/>
    <n v="1288.79"/>
    <n v="15.66"/>
    <x v="1"/>
    <s v="OK"/>
  </r>
  <r>
    <s v="ORD-0154"/>
    <s v="2025-08-18"/>
    <x v="3"/>
    <x v="0"/>
    <s v="Cookware Set"/>
    <x v="1"/>
    <n v="4"/>
    <n v="11769.96"/>
    <n v="2278.14"/>
    <x v="1"/>
    <s v="OK"/>
  </r>
  <r>
    <s v="ORD-0155"/>
    <s v="2025-05-21"/>
    <x v="0"/>
    <x v="2"/>
    <s v="Jacket"/>
    <x v="1"/>
    <n v="4"/>
    <n v="8698.2900000000009"/>
    <n v="252.38"/>
    <x v="3"/>
    <s v="OK"/>
  </r>
  <r>
    <s v="ORD-0156"/>
    <s v="2025-05-27"/>
    <x v="0"/>
    <x v="2"/>
    <s v="Sneakers"/>
    <x v="0"/>
    <n v="4"/>
    <n v="12705.3"/>
    <n v="670.15"/>
    <x v="0"/>
    <s v="OK"/>
  </r>
  <r>
    <s v="ORD-0157"/>
    <s v="2025-01-22"/>
    <x v="2"/>
    <x v="2"/>
    <s v="Dress"/>
    <x v="0"/>
    <n v="5"/>
    <n v="10363.040000000001"/>
    <n v="1927.65"/>
    <x v="2"/>
    <s v="OK"/>
  </r>
  <r>
    <s v="ORD-0158"/>
    <s v="2025-02-22"/>
    <x v="3"/>
    <x v="0"/>
    <s v="Cookware Set"/>
    <x v="0"/>
    <n v="5"/>
    <n v="13022.41"/>
    <n v="-751.72"/>
    <x v="1"/>
    <s v="OK"/>
  </r>
  <r>
    <s v="ORD-0159"/>
    <s v="2025-11-09"/>
    <x v="1"/>
    <x v="1"/>
    <s v="Headphones"/>
    <x v="1"/>
    <n v="4"/>
    <n v="10981.97"/>
    <n v="1193.3499999999999"/>
    <x v="2"/>
    <s v="OK"/>
  </r>
  <r>
    <s v="ORD-0160"/>
    <s v="2025-01-27"/>
    <x v="3"/>
    <x v="2"/>
    <s v="Sneakers"/>
    <x v="0"/>
    <n v="4"/>
    <n v="14768.5"/>
    <n v="2427.9899999999998"/>
    <x v="2"/>
    <s v="OK"/>
  </r>
  <r>
    <s v="ORD-0161"/>
    <s v="2025-12-03"/>
    <x v="1"/>
    <x v="1"/>
    <s v="Monitor"/>
    <x v="1"/>
    <n v="4"/>
    <n v="45927.81"/>
    <n v="8292"/>
    <x v="3"/>
    <s v="OK"/>
  </r>
  <r>
    <s v="ORD-0162"/>
    <s v="2025-12-06"/>
    <x v="2"/>
    <x v="0"/>
    <s v="Desk Lamp"/>
    <x v="0"/>
    <n v="3"/>
    <n v="2597.5300000000002"/>
    <n v="405.68"/>
    <x v="3"/>
    <s v="OK"/>
  </r>
  <r>
    <s v="ORD-0163"/>
    <s v="2025-03-07"/>
    <x v="0"/>
    <x v="2"/>
    <s v="Dress"/>
    <x v="1"/>
    <n v="4"/>
    <n v="7818.11"/>
    <n v="299.05"/>
    <x v="2"/>
    <s v="OK"/>
  </r>
  <r>
    <s v="ORD-0164"/>
    <s v="2025-09-06"/>
    <x v="1"/>
    <x v="1"/>
    <s v="Smartphone"/>
    <x v="0"/>
    <n v="3"/>
    <n v="78628.42"/>
    <n v="-227.29"/>
    <x v="1"/>
    <s v="OK"/>
  </r>
  <r>
    <s v="ORD-0165"/>
    <s v="2025-10-04"/>
    <x v="0"/>
    <x v="1"/>
    <s v="Laptop"/>
    <x v="1"/>
    <n v="3"/>
    <n v="166746.17000000001"/>
    <n v="-7268.35"/>
    <x v="1"/>
    <s v="OK"/>
  </r>
  <r>
    <s v="ORD-0166"/>
    <s v="2025-11-16"/>
    <x v="1"/>
    <x v="0"/>
    <s v="Cookware Set"/>
    <x v="1"/>
    <n v="2"/>
    <n v="5221.72"/>
    <n v="1145.04"/>
    <x v="3"/>
    <s v="OK"/>
  </r>
  <r>
    <s v="ORD-0167"/>
    <s v="2025-08-18"/>
    <x v="1"/>
    <x v="2"/>
    <s v="Jeans"/>
    <x v="0"/>
    <n v="2"/>
    <n v="3500.54"/>
    <n v="489.43"/>
    <x v="2"/>
    <s v="OK"/>
  </r>
  <r>
    <s v="ORD-0168"/>
    <s v="2025-08-14"/>
    <x v="2"/>
    <x v="2"/>
    <s v="T-Shirt"/>
    <x v="1"/>
    <n v="3"/>
    <n v="2174.89"/>
    <n v="272.62"/>
    <x v="0"/>
    <s v="OK"/>
  </r>
  <r>
    <s v="ORD-0169"/>
    <s v="2025-11-06"/>
    <x v="1"/>
    <x v="0"/>
    <s v="Chair"/>
    <x v="1"/>
    <n v="4"/>
    <n v="19678.57"/>
    <n v="4212.8"/>
    <x v="3"/>
    <s v="OK"/>
  </r>
  <r>
    <s v="ORD-0170"/>
    <s v="2025-09-22"/>
    <x v="0"/>
    <x v="0"/>
    <s v="Cookware Set"/>
    <x v="1"/>
    <n v="3"/>
    <n v="8491.6299999999992"/>
    <n v="-365.71"/>
    <x v="3"/>
    <s v="OK"/>
  </r>
  <r>
    <s v="ORD-0171"/>
    <s v="2025-08-12"/>
    <x v="0"/>
    <x v="1"/>
    <s v="Smartphone"/>
    <x v="0"/>
    <n v="4"/>
    <n v="121078.86"/>
    <n v="-3263.62"/>
    <x v="0"/>
    <s v="OK"/>
  </r>
  <r>
    <s v="ORD-0172"/>
    <s v="2025-05-01"/>
    <x v="2"/>
    <x v="2"/>
    <s v="Jacket"/>
    <x v="0"/>
    <n v="4"/>
    <n v="8013.73"/>
    <n v="807.16"/>
    <x v="2"/>
    <s v="OK"/>
  </r>
  <r>
    <s v="ORD-0173"/>
    <s v="2025-11-29"/>
    <x v="3"/>
    <x v="1"/>
    <s v="Laptop"/>
    <x v="0"/>
    <n v="3"/>
    <n v="169441.77"/>
    <n v="37633.599999999999"/>
    <x v="1"/>
    <s v="OK"/>
  </r>
  <r>
    <s v="ORD-0174"/>
    <s v="2025-12-28"/>
    <x v="2"/>
    <x v="1"/>
    <s v="Smartphone"/>
    <x v="1"/>
    <n v="4"/>
    <n v="116392.01"/>
    <n v="-3495.79"/>
    <x v="3"/>
    <s v="OK"/>
  </r>
  <r>
    <s v="ORD-0175"/>
    <s v="2025-11-08"/>
    <x v="2"/>
    <x v="1"/>
    <s v="Laptop"/>
    <x v="0"/>
    <n v="3"/>
    <n v="147128.43"/>
    <n v="-3850.78"/>
    <x v="2"/>
    <s v="OK"/>
  </r>
  <r>
    <s v="ORD-0176"/>
    <s v="2025-11-15"/>
    <x v="2"/>
    <x v="1"/>
    <s v="Smartphone"/>
    <x v="0"/>
    <n v="1"/>
    <n v="25467.4"/>
    <n v="1811.68"/>
    <x v="3"/>
    <s v="OK"/>
  </r>
  <r>
    <s v="ORD-0177"/>
    <s v="2025-05-04"/>
    <x v="1"/>
    <x v="2"/>
    <s v="Dress"/>
    <x v="1"/>
    <n v="5"/>
    <n v="8581.23"/>
    <n v="905.62"/>
    <x v="0"/>
    <s v="OK"/>
  </r>
  <r>
    <s v="ORD-0178"/>
    <s v="2025-12-07"/>
    <x v="0"/>
    <x v="1"/>
    <s v="Monitor"/>
    <x v="1"/>
    <n v="3"/>
    <n v="34132.06"/>
    <n v="2388.0300000000002"/>
    <x v="3"/>
    <s v="OK"/>
  </r>
  <r>
    <s v="ORD-0179"/>
    <s v="2025-01-11"/>
    <x v="2"/>
    <x v="0"/>
    <s v="Chair"/>
    <x v="1"/>
    <n v="5"/>
    <n v="23788.86"/>
    <n v="2444.17"/>
    <x v="3"/>
    <s v="OK"/>
  </r>
  <r>
    <s v="ORD-0180"/>
    <s v="2025-02-04"/>
    <x v="3"/>
    <x v="0"/>
    <s v="Cookware Set"/>
    <x v="0"/>
    <n v="3"/>
    <n v="7986.13"/>
    <n v="-592.19000000000005"/>
    <x v="3"/>
    <s v="OK"/>
  </r>
  <r>
    <s v="ORD-0181"/>
    <s v="2025-11-26"/>
    <x v="1"/>
    <x v="0"/>
    <s v="Bedsheet"/>
    <x v="1"/>
    <n v="2"/>
    <n v="2544.83"/>
    <n v="296.64"/>
    <x v="0"/>
    <s v="OK"/>
  </r>
  <r>
    <s v="ORD-0182"/>
    <s v="2025-08-23"/>
    <x v="0"/>
    <x v="0"/>
    <s v="Desk Lamp"/>
    <x v="1"/>
    <n v="2"/>
    <n v="1642.72"/>
    <n v="327.61"/>
    <x v="1"/>
    <s v="OK"/>
  </r>
  <r>
    <s v="ORD-0183"/>
    <s v="2025-07-23"/>
    <x v="2"/>
    <x v="1"/>
    <s v="Headphones"/>
    <x v="1"/>
    <n v="1"/>
    <n v="2407.8000000000002"/>
    <n v="76.150000000000006"/>
    <x v="3"/>
    <s v="OK"/>
  </r>
  <r>
    <s v="ORD-0184"/>
    <s v="2025-12-02"/>
    <x v="3"/>
    <x v="0"/>
    <s v="Desk Lamp"/>
    <x v="1"/>
    <n v="3"/>
    <n v="2622.77"/>
    <n v="527.45000000000005"/>
    <x v="3"/>
    <s v="OK"/>
  </r>
  <r>
    <s v="ORD-0185"/>
    <s v="2025-07-17"/>
    <x v="3"/>
    <x v="2"/>
    <s v="Sneakers"/>
    <x v="0"/>
    <n v="4"/>
    <n v="14681.26"/>
    <n v="3553.89"/>
    <x v="0"/>
    <s v="OK"/>
  </r>
  <r>
    <s v="ORD-0186"/>
    <s v="2025-02-12"/>
    <x v="2"/>
    <x v="0"/>
    <s v="Cookware Set"/>
    <x v="0"/>
    <n v="3"/>
    <n v="9112.84"/>
    <n v="974.52"/>
    <x v="0"/>
    <s v="OK"/>
  </r>
  <r>
    <s v="ORD-0187"/>
    <s v="2025-06-17"/>
    <x v="3"/>
    <x v="0"/>
    <s v="Desk Lamp"/>
    <x v="1"/>
    <n v="5"/>
    <n v="4314.3900000000003"/>
    <n v="-185.8"/>
    <x v="0"/>
    <s v="OK"/>
  </r>
  <r>
    <s v="ORD-0188"/>
    <s v="2025-01-22"/>
    <x v="3"/>
    <x v="0"/>
    <s v="Cookware Set"/>
    <x v="1"/>
    <n v="2"/>
    <n v="5812.54"/>
    <n v="270.61"/>
    <x v="2"/>
    <s v="OK"/>
  </r>
  <r>
    <s v="ORD-0189"/>
    <s v="2025-09-20"/>
    <x v="1"/>
    <x v="0"/>
    <s v="Blender"/>
    <x v="0"/>
    <n v="1"/>
    <n v="3309.56"/>
    <n v="219.21"/>
    <x v="1"/>
    <s v="OK"/>
  </r>
  <r>
    <s v="ORD-0190"/>
    <s v="2025-11-27"/>
    <x v="3"/>
    <x v="0"/>
    <s v="Cookware Set"/>
    <x v="1"/>
    <n v="1"/>
    <n v="2590.69"/>
    <n v="12.85"/>
    <x v="0"/>
    <s v="OK"/>
  </r>
  <r>
    <s v="ORD-0191"/>
    <s v="2025-07-09"/>
    <x v="3"/>
    <x v="0"/>
    <s v="Blender"/>
    <x v="1"/>
    <n v="5"/>
    <n v="14891"/>
    <n v="1220.6500000000001"/>
    <x v="3"/>
    <s v="OK"/>
  </r>
  <r>
    <s v="ORD-0192"/>
    <s v="2025-05-23"/>
    <x v="1"/>
    <x v="0"/>
    <s v="Desk Lamp"/>
    <x v="0"/>
    <n v="5"/>
    <n v="4380.25"/>
    <n v="145.33000000000001"/>
    <x v="3"/>
    <s v="OK"/>
  </r>
  <r>
    <s v="ORD-0193"/>
    <s v="2025-03-02"/>
    <x v="3"/>
    <x v="0"/>
    <s v="Desk Lamp"/>
    <x v="1"/>
    <n v="4"/>
    <n v="3612.78"/>
    <n v="899.13"/>
    <x v="0"/>
    <s v="OK"/>
  </r>
  <r>
    <s v="ORD-0194"/>
    <s v="2025-04-13"/>
    <x v="0"/>
    <x v="1"/>
    <s v="Monitor"/>
    <x v="0"/>
    <n v="3"/>
    <n v="37396.660000000003"/>
    <n v="10452.61"/>
    <x v="3"/>
    <s v="OK"/>
  </r>
  <r>
    <s v="ORD-0195"/>
    <s v="2025-06-13"/>
    <x v="3"/>
    <x v="2"/>
    <s v="T-Shirt"/>
    <x v="0"/>
    <n v="4"/>
    <n v="3078.47"/>
    <n v="651.97"/>
    <x v="2"/>
    <s v="OK"/>
  </r>
  <r>
    <s v="ORD-0196"/>
    <s v="2025-03-04"/>
    <x v="1"/>
    <x v="2"/>
    <s v="T-Shirt"/>
    <x v="0"/>
    <n v="2"/>
    <n v="1482.23"/>
    <n v="152.9"/>
    <x v="1"/>
    <s v="OK"/>
  </r>
  <r>
    <s v="ORD-0197"/>
    <s v="2025-10-10"/>
    <x v="1"/>
    <x v="2"/>
    <s v="Jacket"/>
    <x v="0"/>
    <n v="3"/>
    <n v="6671.31"/>
    <n v="352.3"/>
    <x v="3"/>
    <s v="OK"/>
  </r>
  <r>
    <s v="ORD-0198"/>
    <s v="2025-10-22"/>
    <x v="0"/>
    <x v="2"/>
    <s v="Sneakers"/>
    <x v="0"/>
    <n v="4"/>
    <n v="14071.95"/>
    <n v="2770.76"/>
    <x v="2"/>
    <s v="OK"/>
  </r>
  <r>
    <s v="ORD-0199"/>
    <s v="2025-03-07"/>
    <x v="1"/>
    <x v="0"/>
    <s v="Blender"/>
    <x v="0"/>
    <n v="4"/>
    <n v="12712.53"/>
    <n v="1350.7"/>
    <x v="0"/>
    <s v="OK"/>
  </r>
  <r>
    <s v="ORD-0200"/>
    <s v="2025-03-24"/>
    <x v="3"/>
    <x v="0"/>
    <s v="Blender"/>
    <x v="0"/>
    <n v="1"/>
    <n v="3211.59"/>
    <n v="94.69"/>
    <x v="2"/>
    <s v="OK"/>
  </r>
  <r>
    <s v="ORD-0201"/>
    <s v="2025-10-10"/>
    <x v="3"/>
    <x v="0"/>
    <s v="Bedsheet"/>
    <x v="0"/>
    <n v="1"/>
    <n v="1330.17"/>
    <s v=""/>
    <x v="2"/>
    <s v="Review"/>
  </r>
  <r>
    <s v="ORD-0202"/>
    <s v="2025-10-25"/>
    <x v="1"/>
    <x v="0"/>
    <s v="Chair"/>
    <x v="0"/>
    <n v="1"/>
    <n v="4502.32"/>
    <n v="-86.85"/>
    <x v="2"/>
    <s v="OK"/>
  </r>
  <r>
    <s v="ORD-0203"/>
    <s v="2025-10-23"/>
    <x v="3"/>
    <x v="0"/>
    <s v="Blender"/>
    <x v="0"/>
    <n v="1"/>
    <n v="2931.98"/>
    <n v="766.64"/>
    <x v="0"/>
    <s v="OK"/>
  </r>
  <r>
    <s v="ORD-0204"/>
    <s v="2025-11-25"/>
    <x v="3"/>
    <x v="0"/>
    <s v="Blender"/>
    <x v="1"/>
    <n v="4"/>
    <n v="13795.83"/>
    <n v="1605.94"/>
    <x v="1"/>
    <s v="OK"/>
  </r>
  <r>
    <s v="ORD-0205"/>
    <s v="2025-03-22"/>
    <x v="2"/>
    <x v="0"/>
    <s v="Cookware Set"/>
    <x v="1"/>
    <n v="3"/>
    <n v="8321.9500000000007"/>
    <n v="1397.26"/>
    <x v="0"/>
    <s v="OK"/>
  </r>
  <r>
    <s v="ORD-0206"/>
    <s v="2025-06-13"/>
    <x v="3"/>
    <x v="2"/>
    <s v="T-Shirt"/>
    <x v="1"/>
    <n v="3"/>
    <n v="2144.8000000000002"/>
    <n v="69.77"/>
    <x v="1"/>
    <s v="OK"/>
  </r>
  <r>
    <s v="ORD-0207"/>
    <s v="2025-03-04"/>
    <x v="3"/>
    <x v="2"/>
    <s v="Dress"/>
    <x v="1"/>
    <n v="5"/>
    <n v="8751.75"/>
    <n v="61.49"/>
    <x v="1"/>
    <s v="OK"/>
  </r>
  <r>
    <s v="ORD-0208"/>
    <s v="2025-11-12"/>
    <x v="2"/>
    <x v="1"/>
    <s v="Laptop"/>
    <x v="0"/>
    <n v="1"/>
    <n v="49818.2"/>
    <n v="2904.1"/>
    <x v="1"/>
    <s v="OK"/>
  </r>
  <r>
    <s v="ORD-0209"/>
    <s v="2025-09-21"/>
    <x v="2"/>
    <x v="2"/>
    <s v="Dress"/>
    <x v="1"/>
    <n v="3"/>
    <n v="5346.41"/>
    <n v="-121.03"/>
    <x v="2"/>
    <s v="OK"/>
  </r>
  <r>
    <s v="ORD-0210"/>
    <s v="2025-05-04"/>
    <x v="1"/>
    <x v="2"/>
    <s v="Jacket"/>
    <x v="1"/>
    <n v="1"/>
    <n v="2395.9"/>
    <n v="244.29"/>
    <x v="3"/>
    <s v="OK"/>
  </r>
  <r>
    <s v="ORD-0211"/>
    <s v="2025-12-11"/>
    <x v="2"/>
    <x v="1"/>
    <s v="Smartphone"/>
    <x v="1"/>
    <n v="4"/>
    <n v="114184.42"/>
    <n v="25511.75"/>
    <x v="3"/>
    <s v="OK"/>
  </r>
  <r>
    <s v="ORD-0212"/>
    <s v="2025-07-26"/>
    <x v="3"/>
    <x v="1"/>
    <s v="Keyboard"/>
    <x v="0"/>
    <n v="2"/>
    <n v="3875.37"/>
    <n v="704.94"/>
    <x v="0"/>
    <s v="OK"/>
  </r>
  <r>
    <s v="ORD-0213"/>
    <s v="2025-02-07"/>
    <x v="2"/>
    <x v="1"/>
    <s v="Monitor"/>
    <x v="1"/>
    <n v="5"/>
    <n v="56335.86"/>
    <n v="6713"/>
    <x v="2"/>
    <s v="OK"/>
  </r>
  <r>
    <s v="ORD-0214"/>
    <s v="2025-07-11"/>
    <x v="3"/>
    <x v="0"/>
    <s v="Chair"/>
    <x v="1"/>
    <n v="1"/>
    <n v="4165.8"/>
    <n v="-188.27"/>
    <x v="1"/>
    <s v="OK"/>
  </r>
  <r>
    <s v="ORD-0215"/>
    <s v="2025-01-20"/>
    <x v="1"/>
    <x v="1"/>
    <s v="Monitor"/>
    <x v="1"/>
    <n v="5"/>
    <n v="58816.65"/>
    <n v="-3852.97"/>
    <x v="0"/>
    <s v="OK"/>
  </r>
  <r>
    <s v="ORD-0216"/>
    <s v="2025-06-17"/>
    <x v="3"/>
    <x v="0"/>
    <s v="Cookware Set"/>
    <x v="0"/>
    <n v="2"/>
    <n v="5719.01"/>
    <n v="603.82000000000005"/>
    <x v="0"/>
    <s v="OK"/>
  </r>
  <r>
    <s v="ORD-0217"/>
    <s v="2025-09-30"/>
    <x v="2"/>
    <x v="0"/>
    <s v="Bedsheet"/>
    <x v="1"/>
    <n v="5"/>
    <n v="6770.92"/>
    <n v="1477.31"/>
    <x v="0"/>
    <s v="OK"/>
  </r>
  <r>
    <s v="ORD-0218"/>
    <s v="2025-10-26"/>
    <x v="3"/>
    <x v="1"/>
    <s v="Smartphone"/>
    <x v="0"/>
    <n v="3"/>
    <n v="86919.95"/>
    <n v="23708.57"/>
    <x v="0"/>
    <s v="OK"/>
  </r>
  <r>
    <s v="ORD-0219"/>
    <s v="2025-09-03"/>
    <x v="1"/>
    <x v="2"/>
    <s v="Dress"/>
    <x v="1"/>
    <n v="5"/>
    <n v="8982.33"/>
    <n v="-552.52"/>
    <x v="1"/>
    <s v="OK"/>
  </r>
  <r>
    <s v="ORD-0220"/>
    <s v="2025-04-08"/>
    <x v="0"/>
    <x v="0"/>
    <s v="Desk Lamp"/>
    <x v="1"/>
    <n v="1"/>
    <n v="913.06"/>
    <n v="157.22"/>
    <x v="2"/>
    <s v="OK"/>
  </r>
  <r>
    <s v="ORD-0221"/>
    <s v="2025-11-10"/>
    <x v="2"/>
    <x v="2"/>
    <s v="T-Shirt"/>
    <x v="0"/>
    <n v="4"/>
    <n v="2906.68"/>
    <n v="196.89"/>
    <x v="1"/>
    <s v="OK"/>
  </r>
  <r>
    <s v="ORD-0222"/>
    <s v="27-09-2025"/>
    <x v="2"/>
    <x v="0"/>
    <s v="Desk Lamp"/>
    <x v="1"/>
    <n v="5"/>
    <n v="4342.54"/>
    <n v="687.87"/>
    <x v="1"/>
    <s v="OK"/>
  </r>
  <r>
    <s v="ORD-0223"/>
    <s v="2025-12-15"/>
    <x v="3"/>
    <x v="2"/>
    <s v="Dress"/>
    <x v="1"/>
    <n v="3"/>
    <n v="5752.75"/>
    <n v="939.5"/>
    <x v="1"/>
    <s v="OK"/>
  </r>
  <r>
    <s v="ORD-0224"/>
    <s v="2025-06-02"/>
    <x v="3"/>
    <x v="1"/>
    <s v="Smartphone"/>
    <x v="0"/>
    <n v="5"/>
    <n v="134357.98000000001"/>
    <n v="34789.96"/>
    <x v="0"/>
    <s v="OK"/>
  </r>
  <r>
    <s v="ORD-0225"/>
    <s v="2025-05-21"/>
    <x v="3"/>
    <x v="2"/>
    <s v="Sneakers"/>
    <x v="0"/>
    <n v="3"/>
    <n v="10627.02"/>
    <n v="2724.92"/>
    <x v="0"/>
    <s v="OK"/>
  </r>
  <r>
    <s v="ORD-0226"/>
    <s v="2025-02-10"/>
    <x v="3"/>
    <x v="2"/>
    <s v="Jeans"/>
    <x v="1"/>
    <n v="2"/>
    <n v="3065.89"/>
    <n v="72.19"/>
    <x v="2"/>
    <s v="OK"/>
  </r>
  <r>
    <s v="ORD-0227"/>
    <s v="2025-10-15"/>
    <x v="3"/>
    <x v="0"/>
    <s v="Cookware Set"/>
    <x v="0"/>
    <n v="2"/>
    <n v="5266.32"/>
    <n v="599.77"/>
    <x v="3"/>
    <s v="OK"/>
  </r>
  <r>
    <s v="ORD-0228"/>
    <s v="2025-09-29"/>
    <x v="1"/>
    <x v="0"/>
    <s v="Chair"/>
    <x v="0"/>
    <n v="2"/>
    <n v="8536.42"/>
    <n v="1375.56"/>
    <x v="3"/>
    <s v="OK"/>
  </r>
  <r>
    <s v="ORD-0229"/>
    <s v="2025-03-12"/>
    <x v="0"/>
    <x v="1"/>
    <s v="Keyboard"/>
    <x v="0"/>
    <n v="3"/>
    <n v="5634.75"/>
    <n v="-246.82"/>
    <x v="0"/>
    <s v="OK"/>
  </r>
  <r>
    <s v="ORD-0230"/>
    <s v="2025-05-28"/>
    <x v="3"/>
    <x v="0"/>
    <s v="Cookware Set"/>
    <x v="1"/>
    <n v="4"/>
    <n v="11537.21"/>
    <n v="2216.62"/>
    <x v="3"/>
    <s v="OK"/>
  </r>
  <r>
    <s v="ORD-0231"/>
    <s v="2025-01-20"/>
    <x v="1"/>
    <x v="1"/>
    <s v="Monitor"/>
    <x v="1"/>
    <n v="2"/>
    <n v="24168.73"/>
    <n v="4358.16"/>
    <x v="1"/>
    <s v="OK"/>
  </r>
  <r>
    <s v="ORD-0232"/>
    <s v="2025-05-29"/>
    <x v="0"/>
    <x v="1"/>
    <s v="Keyboard"/>
    <x v="0"/>
    <n v="4"/>
    <n v="6748.29"/>
    <n v="1279.75"/>
    <x v="2"/>
    <s v="OK"/>
  </r>
  <r>
    <s v="ORD-0233"/>
    <s v="2025-08-21"/>
    <x v="2"/>
    <x v="0"/>
    <s v="Chair"/>
    <x v="0"/>
    <n v="1"/>
    <n v="4885.6099999999997"/>
    <n v="198.43"/>
    <x v="0"/>
    <s v="OK"/>
  </r>
  <r>
    <s v="ORD-0234"/>
    <s v="2025-11-28"/>
    <x v="3"/>
    <x v="2"/>
    <s v="T-Shirt"/>
    <x v="0"/>
    <n v="1"/>
    <n v="676.3"/>
    <n v="123.9"/>
    <x v="3"/>
    <s v="OK"/>
  </r>
  <r>
    <s v="ORD-0235"/>
    <s v="2025-03-31"/>
    <x v="2"/>
    <x v="0"/>
    <s v="Bedsheet"/>
    <x v="1"/>
    <n v="3"/>
    <n v="4256.9399999999996"/>
    <n v="819.98"/>
    <x v="2"/>
    <s v="OK"/>
  </r>
  <r>
    <s v="ORD-0236"/>
    <s v="2025-06-15"/>
    <x v="1"/>
    <x v="1"/>
    <s v="Keyboard"/>
    <x v="0"/>
    <n v="1"/>
    <n v="1686.52"/>
    <n v="-49.55"/>
    <x v="2"/>
    <s v="OK"/>
  </r>
  <r>
    <s v="ORD-0237"/>
    <s v="2025-06-04"/>
    <x v="0"/>
    <x v="2"/>
    <s v="T-Shirt"/>
    <x v="1"/>
    <n v="4"/>
    <n v="2942.1"/>
    <n v="775.1"/>
    <x v="2"/>
    <s v="OK"/>
  </r>
  <r>
    <s v="ORD-0238"/>
    <s v="2025-03-23"/>
    <x v="2"/>
    <x v="0"/>
    <s v="Desk Lamp"/>
    <x v="1"/>
    <n v="1"/>
    <n v="930.2"/>
    <n v="81.430000000000007"/>
    <x v="3"/>
    <s v="OK"/>
  </r>
  <r>
    <s v="ORD-0239"/>
    <s v="2025-03-10"/>
    <x v="2"/>
    <x v="0"/>
    <s v="Bedsheet"/>
    <x v="0"/>
    <n v="3"/>
    <n v="4296.29"/>
    <n v="-4.78"/>
    <x v="0"/>
    <s v="OK"/>
  </r>
  <r>
    <s v="ORD-0240"/>
    <s v="2025-08-30"/>
    <x v="1"/>
    <x v="0"/>
    <s v="Chair"/>
    <x v="0"/>
    <n v="3"/>
    <n v="13272.78"/>
    <n v="1562.53"/>
    <x v="3"/>
    <s v="OK"/>
  </r>
  <r>
    <s v="ORD-0241"/>
    <s v="2025-10-16"/>
    <x v="0"/>
    <x v="0"/>
    <s v="Cookware Set"/>
    <x v="0"/>
    <n v="5"/>
    <n v="14570.55"/>
    <n v="-755.96"/>
    <x v="1"/>
    <s v="OK"/>
  </r>
  <r>
    <s v="ORD-0242"/>
    <s v="2025-08-15"/>
    <x v="0"/>
    <x v="0"/>
    <s v="Chair"/>
    <x v="0"/>
    <n v="2"/>
    <n v="8396.17"/>
    <n v="1911.09"/>
    <x v="0"/>
    <s v="OK"/>
  </r>
  <r>
    <s v="ORD-0243"/>
    <s v="2025-09-20"/>
    <x v="2"/>
    <x v="1"/>
    <s v="Monitor"/>
    <x v="1"/>
    <n v="4"/>
    <n v="50963.44"/>
    <n v="4241.97"/>
    <x v="3"/>
    <s v="OK"/>
  </r>
  <r>
    <s v="ORD-0244"/>
    <s v="2025-01-02"/>
    <x v="1"/>
    <x v="0"/>
    <s v="Cookware Set"/>
    <x v="0"/>
    <n v="3"/>
    <n v="8775.11"/>
    <n v="548.80999999999995"/>
    <x v="3"/>
    <s v="OK"/>
  </r>
  <r>
    <s v="ORD-0245"/>
    <s v="2025-02-05"/>
    <x v="2"/>
    <x v="2"/>
    <s v="Jeans"/>
    <x v="0"/>
    <n v="1"/>
    <n v="1613.17"/>
    <n v="-94.06"/>
    <x v="2"/>
    <s v="OK"/>
  </r>
  <r>
    <s v="ORD-0246"/>
    <s v="2025-11-27"/>
    <x v="2"/>
    <x v="2"/>
    <s v="T-Shirt"/>
    <x v="1"/>
    <n v="2"/>
    <n v="1474.43"/>
    <n v="401.34"/>
    <x v="0"/>
    <s v="OK"/>
  </r>
  <r>
    <s v="ORD-0247"/>
    <s v="2025-10-04"/>
    <x v="1"/>
    <x v="2"/>
    <s v="Sneakers"/>
    <x v="1"/>
    <n v="4"/>
    <n v="12824.7"/>
    <n v="3425.37"/>
    <x v="3"/>
    <s v="OK"/>
  </r>
  <r>
    <s v="ORD-0248"/>
    <s v="2025-04-25"/>
    <x v="0"/>
    <x v="1"/>
    <s v="Monitor"/>
    <x v="0"/>
    <n v="4"/>
    <n v="48276.89"/>
    <n v="8787.7900000000009"/>
    <x v="2"/>
    <s v="OK"/>
  </r>
  <r>
    <s v="ORD-0249"/>
    <s v="2025-05-07"/>
    <x v="2"/>
    <x v="2"/>
    <s v="Dress"/>
    <x v="1"/>
    <n v="4"/>
    <n v="7648.54"/>
    <n v="1655.22"/>
    <x v="1"/>
    <s v="OK"/>
  </r>
  <r>
    <s v="ORD-0250"/>
    <s v="2025-11-11"/>
    <x v="0"/>
    <x v="2"/>
    <s v="T-Shirt"/>
    <x v="0"/>
    <n v="1"/>
    <n v="634.51"/>
    <n v="100.04"/>
    <x v="1"/>
    <s v="OK"/>
  </r>
  <r>
    <s v="ORD-0251"/>
    <s v="2025-12-27"/>
    <x v="0"/>
    <x v="1"/>
    <s v="Laptop"/>
    <x v="0"/>
    <n v="5"/>
    <n v="235745.97"/>
    <n v="31873.46"/>
    <x v="3"/>
    <s v="OK"/>
  </r>
  <r>
    <s v="ORD-0252"/>
    <s v="2025-01-29"/>
    <x v="1"/>
    <x v="2"/>
    <s v="Sneakers"/>
    <x v="1"/>
    <n v="2"/>
    <n v="7055.66"/>
    <n v="1351.72"/>
    <x v="1"/>
    <s v="OK"/>
  </r>
  <r>
    <s v="ORD-0253"/>
    <s v="2025-06-14"/>
    <x v="1"/>
    <x v="0"/>
    <s v="Chair"/>
    <x v="1"/>
    <n v="3"/>
    <n v="13709.18"/>
    <n v="2715.98"/>
    <x v="1"/>
    <s v="OK"/>
  </r>
  <r>
    <s v="ORD-0254"/>
    <s v="2025-10-13"/>
    <x v="1"/>
    <x v="0"/>
    <s v="Chair"/>
    <x v="1"/>
    <n v="2"/>
    <n v="8844.41"/>
    <n v="168.53"/>
    <x v="0"/>
    <s v="OK"/>
  </r>
  <r>
    <s v="ORD-0255"/>
    <s v="2025-08-02"/>
    <x v="2"/>
    <x v="1"/>
    <s v="Smartphone"/>
    <x v="0"/>
    <n v="4"/>
    <n v="118402.02"/>
    <n v="4113.8100000000004"/>
    <x v="2"/>
    <s v="OK"/>
  </r>
  <r>
    <s v="ORD-0256"/>
    <s v="2025-06-03"/>
    <x v="1"/>
    <x v="2"/>
    <s v="T-Shirt"/>
    <x v="1"/>
    <n v="5"/>
    <n v="3481.46"/>
    <n v="785.98"/>
    <x v="3"/>
    <s v="OK"/>
  </r>
  <r>
    <s v="ORD-0257"/>
    <s v="2025-05-05"/>
    <x v="3"/>
    <x v="0"/>
    <s v="Cookware Set"/>
    <x v="0"/>
    <n v="4"/>
    <n v="11328.32"/>
    <n v="-359.41"/>
    <x v="2"/>
    <s v="OK"/>
  </r>
  <r>
    <s v="ORD-0258"/>
    <s v="2025-04-08"/>
    <x v="0"/>
    <x v="0"/>
    <s v="Blender"/>
    <x v="1"/>
    <n v="4"/>
    <n v="13688.66"/>
    <n v="-639.44000000000005"/>
    <x v="0"/>
    <s v="OK"/>
  </r>
  <r>
    <s v="ORD-0259"/>
    <s v="2025-10-28"/>
    <x v="1"/>
    <x v="0"/>
    <s v="Chair"/>
    <x v="1"/>
    <n v="5"/>
    <n v="20427.96"/>
    <n v="-1098.98"/>
    <x v="1"/>
    <s v="OK"/>
  </r>
  <r>
    <s v="ORD-0260"/>
    <s v="2025-03-02"/>
    <x v="2"/>
    <x v="2"/>
    <s v="Jeans"/>
    <x v="0"/>
    <n v="1"/>
    <n v="1507.78"/>
    <n v="-17.48"/>
    <x v="1"/>
    <s v="OK"/>
  </r>
  <r>
    <s v="ORD-0261"/>
    <s v="2025-08-27"/>
    <x v="3"/>
    <x v="2"/>
    <s v="T-Shirt"/>
    <x v="1"/>
    <n v="5"/>
    <n v="3375.13"/>
    <n v="73.92"/>
    <x v="2"/>
    <s v="OK"/>
  </r>
  <r>
    <s v="ORD-0262"/>
    <s v="2025-08-29"/>
    <x v="3"/>
    <x v="2"/>
    <s v="Dress"/>
    <x v="0"/>
    <n v="4"/>
    <n v="7548.33"/>
    <n v="1577.71"/>
    <x v="2"/>
    <s v="OK"/>
  </r>
  <r>
    <s v="ORD-0263"/>
    <s v="2025-03-16"/>
    <x v="0"/>
    <x v="2"/>
    <s v="Sneakers"/>
    <x v="1"/>
    <n v="1"/>
    <n v="3543.77"/>
    <n v="-1.21"/>
    <x v="0"/>
    <s v="OK"/>
  </r>
  <r>
    <s v="ORD-0264"/>
    <s v="2025-05-06"/>
    <x v="2"/>
    <x v="2"/>
    <s v="T-Shirt"/>
    <x v="1"/>
    <n v="2"/>
    <n v="1352.36"/>
    <n v="76.739999999999995"/>
    <x v="2"/>
    <s v="OK"/>
  </r>
  <r>
    <s v="ORD-0265"/>
    <s v="2025-03-28"/>
    <x v="1"/>
    <x v="2"/>
    <s v="Sneakers"/>
    <x v="1"/>
    <n v="4"/>
    <n v="13071.05"/>
    <n v="2695.14"/>
    <x v="1"/>
    <s v="OK"/>
  </r>
  <r>
    <s v="ORD-0266"/>
    <s v="2025-12-09"/>
    <x v="0"/>
    <x v="0"/>
    <s v="Blender"/>
    <x v="0"/>
    <n v="5"/>
    <n v="14508.24"/>
    <n v="3261.61"/>
    <x v="0"/>
    <s v="OK"/>
  </r>
  <r>
    <s v="ORD-0267"/>
    <s v="2025-09-16"/>
    <x v="2"/>
    <x v="1"/>
    <s v="Headphones"/>
    <x v="1"/>
    <n v="1"/>
    <n v="2603.58"/>
    <n v="-199.72"/>
    <x v="3"/>
    <s v="OK"/>
  </r>
  <r>
    <s v="ORD-0268"/>
    <s v="2025-09-30"/>
    <x v="2"/>
    <x v="0"/>
    <s v="Chair"/>
    <x v="0"/>
    <n v="4"/>
    <n v="18573.419999999998"/>
    <n v="-1380.68"/>
    <x v="3"/>
    <s v="OK"/>
  </r>
  <r>
    <s v="ORD-0269"/>
    <s v="2025-12-24"/>
    <x v="2"/>
    <x v="0"/>
    <s v="Bedsheet"/>
    <x v="0"/>
    <n v="5"/>
    <n v="7668.47"/>
    <n v="-566.15"/>
    <x v="3"/>
    <s v="OK"/>
  </r>
  <r>
    <s v="ORD-0270"/>
    <s v="2025-05-10"/>
    <x v="3"/>
    <x v="1"/>
    <s v="Monitor"/>
    <x v="1"/>
    <n v="2"/>
    <n v="22756.65"/>
    <n v="3256.96"/>
    <x v="0"/>
    <s v="OK"/>
  </r>
  <r>
    <s v="ORD-0271"/>
    <s v="2025-12-23"/>
    <x v="1"/>
    <x v="1"/>
    <s v="Smartphone"/>
    <x v="1"/>
    <n v="4"/>
    <n v="111081.55"/>
    <n v="839.2"/>
    <x v="3"/>
    <s v="OK"/>
  </r>
  <r>
    <s v="ORD-0272"/>
    <s v="2025-09-01"/>
    <x v="0"/>
    <x v="0"/>
    <s v="Blender"/>
    <x v="0"/>
    <n v="1"/>
    <n v="3139.38"/>
    <n v="175.12"/>
    <x v="1"/>
    <s v="OK"/>
  </r>
  <r>
    <s v="ORD-0273"/>
    <s v="2025-02-18"/>
    <x v="0"/>
    <x v="1"/>
    <s v="Keyboard"/>
    <x v="0"/>
    <n v="4"/>
    <n v="7408.67"/>
    <n v="290.85000000000002"/>
    <x v="1"/>
    <s v="OK"/>
  </r>
  <r>
    <s v="ORD-0274"/>
    <s v="2025-12-17"/>
    <x v="3"/>
    <x v="0"/>
    <s v="Chair"/>
    <x v="0"/>
    <n v="4"/>
    <n v="17175.939999999999"/>
    <n v="4340.3100000000004"/>
    <x v="1"/>
    <s v="OK"/>
  </r>
  <r>
    <s v="ORD-0275"/>
    <s v="2025-12-31"/>
    <x v="2"/>
    <x v="2"/>
    <s v="Jacket"/>
    <x v="0"/>
    <n v="2"/>
    <n v="4476.59"/>
    <n v="854.19"/>
    <x v="2"/>
    <s v="OK"/>
  </r>
  <r>
    <s v="ORD-0276"/>
    <s v="2025-12-13"/>
    <x v="3"/>
    <x v="1"/>
    <s v="Monitor"/>
    <x v="1"/>
    <n v="2"/>
    <n v="24320.14"/>
    <n v="5491.47"/>
    <x v="1"/>
    <s v="OK"/>
  </r>
  <r>
    <s v="ORD-0277"/>
    <s v="2025-02-20"/>
    <x v="2"/>
    <x v="0"/>
    <s v="Blender"/>
    <x v="0"/>
    <n v="5"/>
    <n v="16785.46"/>
    <n v="747.11"/>
    <x v="3"/>
    <s v="OK"/>
  </r>
  <r>
    <s v="ORD-0278"/>
    <s v="2025-06-17"/>
    <x v="0"/>
    <x v="2"/>
    <s v="Dress"/>
    <x v="1"/>
    <n v="5"/>
    <n v="10364.23"/>
    <n v="651.01"/>
    <x v="0"/>
    <s v="OK"/>
  </r>
  <r>
    <s v="ORD-0279"/>
    <s v="2025-04-06"/>
    <x v="2"/>
    <x v="2"/>
    <s v="T-Shirt"/>
    <x v="0"/>
    <n v="3"/>
    <n v="2122.2800000000002"/>
    <n v="117.05"/>
    <x v="2"/>
    <s v="OK"/>
  </r>
  <r>
    <s v="ORD-0280"/>
    <s v="2025-11-21"/>
    <x v="1"/>
    <x v="1"/>
    <s v="Laptop"/>
    <x v="1"/>
    <n v="1"/>
    <n v="49586.91"/>
    <n v="2816.54"/>
    <x v="2"/>
    <s v="OK"/>
  </r>
  <r>
    <s v="ORD-0281"/>
    <s v="2025-07-04"/>
    <x v="3"/>
    <x v="2"/>
    <s v="Jacket"/>
    <x v="0"/>
    <n v="1"/>
    <n v="1982.29"/>
    <n v="61.4"/>
    <x v="1"/>
    <s v="OK"/>
  </r>
  <r>
    <s v="ORD-0282"/>
    <s v="2025-07-28"/>
    <x v="0"/>
    <x v="1"/>
    <s v="Headphones"/>
    <x v="0"/>
    <n v="4"/>
    <n v="9897.69"/>
    <n v="1184.82"/>
    <x v="3"/>
    <s v="OK"/>
  </r>
  <r>
    <s v="ORD-0283"/>
    <s v="2025-07-17"/>
    <x v="0"/>
    <x v="2"/>
    <s v="Dress"/>
    <x v="1"/>
    <n v="1"/>
    <n v="1936.83"/>
    <n v="392.01"/>
    <x v="0"/>
    <s v="OK"/>
  </r>
  <r>
    <s v="ORD-0284"/>
    <s v="2025-10-20"/>
    <x v="1"/>
    <x v="2"/>
    <s v="Jacket"/>
    <x v="1"/>
    <n v="5"/>
    <n v="11891.46"/>
    <n v="3236.17"/>
    <x v="1"/>
    <s v="OK"/>
  </r>
  <r>
    <s v="ORD-0285"/>
    <s v="2025-03-27"/>
    <x v="2"/>
    <x v="1"/>
    <s v="Smartphone"/>
    <x v="1"/>
    <n v="3"/>
    <n v="80109.23"/>
    <n v="-2200.08"/>
    <x v="0"/>
    <s v="OK"/>
  </r>
  <r>
    <s v="ORD-0286"/>
    <s v="2025-11-17"/>
    <x v="2"/>
    <x v="2"/>
    <s v="Sneakers"/>
    <x v="0"/>
    <n v="1"/>
    <n v="3402.79"/>
    <n v="884.45"/>
    <x v="0"/>
    <s v="OK"/>
  </r>
  <r>
    <s v="ORD-0287"/>
    <s v="2025-11-14"/>
    <x v="2"/>
    <x v="1"/>
    <s v="Headphones"/>
    <x v="1"/>
    <n v="3"/>
    <n v="6760.15"/>
    <n v="422.17"/>
    <x v="0"/>
    <s v="OK"/>
  </r>
  <r>
    <s v="ORD-0288"/>
    <s v="2025-12-22"/>
    <x v="1"/>
    <x v="2"/>
    <s v="Sneakers"/>
    <x v="1"/>
    <n v="5"/>
    <n v="16226.44"/>
    <n v="575.05999999999995"/>
    <x v="2"/>
    <s v="OK"/>
  </r>
  <r>
    <s v="ORD-0289"/>
    <s v="2025-09-09"/>
    <x v="1"/>
    <x v="1"/>
    <s v="Keyboard"/>
    <x v="1"/>
    <n v="3"/>
    <n v="5174.76"/>
    <n v="880.67"/>
    <x v="0"/>
    <s v="OK"/>
  </r>
  <r>
    <s v="ORD-0290"/>
    <s v="2025-10-31"/>
    <x v="1"/>
    <x v="2"/>
    <s v="Sneakers"/>
    <x v="0"/>
    <n v="3"/>
    <n v="9689.16"/>
    <n v="1191.6300000000001"/>
    <x v="0"/>
    <s v="OK"/>
  </r>
  <r>
    <s v="ORD-0291"/>
    <s v="2025-02-05"/>
    <x v="2"/>
    <x v="0"/>
    <s v="Desk Lamp"/>
    <x v="1"/>
    <n v="4"/>
    <n v="3814.33"/>
    <n v="836.34"/>
    <x v="1"/>
    <s v="OK"/>
  </r>
  <r>
    <s v="ORD-0292"/>
    <s v="2025-08-05"/>
    <x v="2"/>
    <x v="0"/>
    <s v="Bedsheet"/>
    <x v="0"/>
    <n v="2"/>
    <n v="2661.5"/>
    <n v="-65.23"/>
    <x v="0"/>
    <s v="OK"/>
  </r>
  <r>
    <s v="ORD-0293"/>
    <s v="2025-12-21"/>
    <x v="2"/>
    <x v="0"/>
    <s v="Cookware Set"/>
    <x v="0"/>
    <n v="5"/>
    <n v="13722.25"/>
    <n v="1404.89"/>
    <x v="2"/>
    <s v="OK"/>
  </r>
  <r>
    <s v="ORD-0294"/>
    <s v="2025-05-08"/>
    <x v="3"/>
    <x v="0"/>
    <s v="Chair"/>
    <x v="0"/>
    <n v="5"/>
    <n v="23121.81"/>
    <n v="-1142.3699999999999"/>
    <x v="3"/>
    <s v="OK"/>
  </r>
  <r>
    <s v="ORD-0295"/>
    <s v="2025-01-06"/>
    <x v="0"/>
    <x v="0"/>
    <s v="Cookware Set"/>
    <x v="1"/>
    <n v="3"/>
    <n v="9182.4"/>
    <n v="688.35"/>
    <x v="1"/>
    <s v="OK"/>
  </r>
  <r>
    <s v="ORD-0296"/>
    <s v="2025-08-17"/>
    <x v="3"/>
    <x v="0"/>
    <s v="Chair"/>
    <x v="1"/>
    <n v="5"/>
    <n v="22862.33"/>
    <n v="2905.45"/>
    <x v="0"/>
    <s v="OK"/>
  </r>
  <r>
    <s v="ORD-0297"/>
    <s v="2025-09-05"/>
    <x v="0"/>
    <x v="0"/>
    <s v="Chair"/>
    <x v="1"/>
    <n v="5"/>
    <n v="20928.349999999999"/>
    <n v="5842.63"/>
    <x v="0"/>
    <s v="OK"/>
  </r>
  <r>
    <s v="ORD-0298"/>
    <s v="2025-04-16"/>
    <x v="2"/>
    <x v="1"/>
    <s v="Laptop"/>
    <x v="1"/>
    <n v="2"/>
    <n v="100845.24"/>
    <n v="4387.17"/>
    <x v="0"/>
    <s v="OK"/>
  </r>
  <r>
    <s v="ORD-0299"/>
    <s v="2025-12-30"/>
    <x v="0"/>
    <x v="1"/>
    <s v="Keyboard"/>
    <x v="0"/>
    <n v="4"/>
    <n v="6939.23"/>
    <n v="194.96"/>
    <x v="2"/>
    <s v="OK"/>
  </r>
  <r>
    <s v="ORD-0300"/>
    <s v="2025-09-22"/>
    <x v="1"/>
    <x v="0"/>
    <s v="Blender"/>
    <x v="0"/>
    <n v="2"/>
    <n v="6950.3"/>
    <n v="1296.76"/>
    <x v="2"/>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8D354-D894-4D5E-9AA7-DC6DA99DE2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L21" firstHeaderRow="0" firstDataRow="1" firstDataCol="0"/>
  <pivotFields count="11">
    <pivotField dataField="1" showAll="0"/>
    <pivotField showAll="0"/>
    <pivotField showAll="0">
      <items count="5">
        <item x="3"/>
        <item x="0"/>
        <item x="1"/>
        <item x="2"/>
        <item t="default"/>
      </items>
    </pivotField>
    <pivotField showAll="0">
      <items count="4">
        <item x="2"/>
        <item x="1"/>
        <item x="0"/>
        <item t="default"/>
      </items>
    </pivotField>
    <pivotField showAll="0"/>
    <pivotField showAll="0">
      <items count="4">
        <item x="1"/>
        <item x="0"/>
        <item x="2"/>
        <item t="default"/>
      </items>
    </pivotField>
    <pivotField showAll="0"/>
    <pivotField dataField="1" showAll="0"/>
    <pivotField dataField="1" showAll="0"/>
    <pivotField showAll="0"/>
    <pivotField showAll="0"/>
  </pivotFields>
  <rowItems count="1">
    <i/>
  </rowItems>
  <colFields count="1">
    <field x="-2"/>
  </colFields>
  <colItems count="3">
    <i>
      <x/>
    </i>
    <i i="1">
      <x v="1"/>
    </i>
    <i i="2">
      <x v="2"/>
    </i>
  </colItems>
  <dataFields count="3">
    <dataField name="Count of Order ID" fld="0" subtotal="count" baseField="0" baseItem="0"/>
    <dataField name="Sum of Sales" fld="7" baseField="0" baseItem="1" numFmtId="164"/>
    <dataField name="Sum of Profit" fld="8"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0B6B7C-40EE-4399-A259-0FF28CB8EE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11">
    <pivotField showAll="0"/>
    <pivotField showAll="0"/>
    <pivotField showAll="0"/>
    <pivotField showAll="0"/>
    <pivotField showAll="0"/>
    <pivotField axis="axisRow" showAll="0">
      <items count="4">
        <item x="1"/>
        <item x="0"/>
        <item x="2"/>
        <item t="default"/>
      </items>
    </pivotField>
    <pivotField showAll="0"/>
    <pivotField dataField="1" showAll="0"/>
    <pivotField showAll="0"/>
    <pivotField showAll="0"/>
    <pivotField showAll="0"/>
  </pivotFields>
  <rowFields count="1">
    <field x="5"/>
  </rowFields>
  <rowItems count="4">
    <i>
      <x/>
    </i>
    <i>
      <x v="1"/>
    </i>
    <i>
      <x v="2"/>
    </i>
    <i t="grand">
      <x/>
    </i>
  </rowItems>
  <colItems count="1">
    <i/>
  </colItems>
  <dataFields count="1">
    <dataField name="Sum of Sales" fld="7"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ED746-A8E4-4024-91A0-9F71C820BCD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6" firstHeaderRow="1" firstDataRow="1" firstDataCol="1"/>
  <pivotFields count="11">
    <pivotField showAll="0"/>
    <pivotField showAll="0"/>
    <pivotField showAll="0"/>
    <pivotField showAll="0"/>
    <pivotField showAll="0"/>
    <pivotField showAll="0"/>
    <pivotField showAll="0"/>
    <pivotField dataField="1" showAll="0"/>
    <pivotField showAll="0"/>
    <pivotField axis="axisRow" showAll="0">
      <items count="6">
        <item x="1"/>
        <item x="2"/>
        <item x="0"/>
        <item x="4"/>
        <item x="3"/>
        <item t="default"/>
      </items>
    </pivotField>
    <pivotField showAll="0"/>
  </pivotFields>
  <rowFields count="1">
    <field x="9"/>
  </rowFields>
  <rowItems count="6">
    <i>
      <x/>
    </i>
    <i>
      <x v="1"/>
    </i>
    <i>
      <x v="2"/>
    </i>
    <i>
      <x v="3"/>
    </i>
    <i>
      <x v="4"/>
    </i>
    <i t="grand">
      <x/>
    </i>
  </rowItems>
  <colItems count="1">
    <i/>
  </colItems>
  <dataFields count="1">
    <dataField name="Sum of Sales" fld="7" baseField="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97B83-B2C0-4EAD-9DA1-AAEE2B047D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0:H14" firstHeaderRow="1" firstDataRow="1" firstDataCol="1"/>
  <pivotFields count="11">
    <pivotField showAll="0"/>
    <pivotField showAll="0"/>
    <pivotField showAll="0">
      <items count="5">
        <item x="3"/>
        <item x="0"/>
        <item x="1"/>
        <item x="2"/>
        <item t="default"/>
      </items>
    </pivotField>
    <pivotField axis="axisRow" showAll="0">
      <items count="4">
        <item x="2"/>
        <item x="1"/>
        <item x="0"/>
        <item t="default"/>
      </items>
    </pivotField>
    <pivotField showAll="0"/>
    <pivotField showAll="0">
      <items count="4">
        <item x="1"/>
        <item x="0"/>
        <item x="2"/>
        <item t="default"/>
      </items>
    </pivotField>
    <pivotField showAll="0"/>
    <pivotField dataField="1" showAll="0"/>
    <pivotField showAll="0"/>
    <pivotField showAll="0"/>
    <pivotField showAll="0"/>
  </pivotFields>
  <rowFields count="1">
    <field x="3"/>
  </rowFields>
  <rowItems count="4">
    <i>
      <x/>
    </i>
    <i>
      <x v="1"/>
    </i>
    <i>
      <x v="2"/>
    </i>
    <i t="grand">
      <x/>
    </i>
  </rowItems>
  <colItems count="1">
    <i/>
  </colItems>
  <dataFields count="1">
    <dataField name="Sum of Sales" fld="7"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22A985-AD3D-4E07-A437-A759CDBFE3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0:E15" firstHeaderRow="1" firstDataRow="1" firstDataCol="1"/>
  <pivotFields count="11">
    <pivotField showAll="0"/>
    <pivotField showAll="0"/>
    <pivotField axis="axisRow" showAll="0">
      <items count="5">
        <item x="3"/>
        <item x="0"/>
        <item x="1"/>
        <item x="2"/>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Profit" fld="8"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0B02F-8EE7-4825-947E-14CCFA48AC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4" firstHeaderRow="1" firstDataRow="1" firstDataCol="1"/>
  <pivotFields count="11">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Profit" fld="8"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010A83-1859-4D39-85E4-C1B280C5B4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5" firstHeaderRow="1" firstDataRow="1" firstDataCol="1"/>
  <pivotFields count="11">
    <pivotField showAll="0"/>
    <pivotField showAll="0"/>
    <pivotField axis="axisRow" showAll="0">
      <items count="5">
        <item x="3"/>
        <item x="0"/>
        <item x="1"/>
        <item x="2"/>
        <item t="default"/>
      </items>
    </pivotField>
    <pivotField showAll="0">
      <items count="4">
        <item x="2"/>
        <item x="1"/>
        <item x="0"/>
        <item t="default"/>
      </items>
    </pivotField>
    <pivotField showAll="0"/>
    <pivotField showAll="0">
      <items count="4">
        <item x="1"/>
        <item x="0"/>
        <item x="2"/>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7"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5D950D-2F47-49EC-8021-C017A4E7327F}" sourceName="Region">
  <pivotTables>
    <pivotTable tabId="3" name="PivotTable3"/>
    <pivotTable tabId="3" name="PivotTable5"/>
    <pivotTable tabId="3" name="PivotTable1"/>
  </pivotTables>
  <data>
    <tabular pivotCacheId="200478205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053A25-0078-4734-85E0-F6DFD39772C8}" sourceName="Category">
  <pivotTables>
    <pivotTable tabId="3" name="PivotTable5"/>
    <pivotTable tabId="3" name="PivotTable3"/>
    <pivotTable tabId="3" name="PivotTable1"/>
  </pivotTables>
  <data>
    <tabular pivotCacheId="20047820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CFCBF16-2A1C-42F8-AAF0-C8E2BDEF04B7}" sourceName="Customer Type">
  <pivotTables>
    <pivotTable tabId="3" name="PivotTable3"/>
    <pivotTable tabId="3" name="PivotTable1"/>
    <pivotTable tabId="3" name="PivotTable5"/>
  </pivotTables>
  <data>
    <tabular pivotCacheId="200478205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BC9888-F7BC-462B-AC2F-B339F2170851}" cache="Slicer_Region" caption="Region" rowHeight="241300"/>
  <slicer name="Category" xr10:uid="{20FF27E2-8EC7-49D8-9FD6-171543016A92}" cache="Slicer_Category" caption="Category" rowHeight="241300"/>
  <slicer name="Customer Type" xr10:uid="{ECE0CFDB-8D88-4DAE-8443-F54945DDFE39}" cache="Slicer_Customer_Type" caption="Custom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A58C4-4D24-4B36-9FFA-D02E25B860A4}" name="tblSalesAnalysis" displayName="tblSalesAnalysis" ref="A1:K301" totalsRowShown="0">
  <autoFilter ref="A1:K301" xr:uid="{239A58C4-4D24-4B36-9FFA-D02E25B860A4}"/>
  <tableColumns count="11">
    <tableColumn id="1" xr3:uid="{2412C226-B806-4B6E-9EDB-889651BAA38A}" name="Order ID">
      <calculatedColumnFormula>Raw_Data!A2</calculatedColumnFormula>
    </tableColumn>
    <tableColumn id="2" xr3:uid="{08DAA51C-3ED6-41C6-AF40-0B7D8A69CC6D}" name="Order Date"/>
    <tableColumn id="3" xr3:uid="{AE66264F-B22B-4FEB-AC19-9AEE76E61CC4}" name="Region">
      <calculatedColumnFormula>PROPER(TRIM(Raw_Data!C2))</calculatedColumnFormula>
    </tableColumn>
    <tableColumn id="4" xr3:uid="{050908D0-CA4A-4584-8D68-0FB9938E0D0A}" name="Category">
      <calculatedColumnFormula>PROPER(TRIM(Raw_Data!D2))</calculatedColumnFormula>
    </tableColumn>
    <tableColumn id="5" xr3:uid="{E3DCFED5-A38F-4BEB-A1C4-D4235478F415}" name="Product">
      <calculatedColumnFormula>PROPER(TRIM(Raw_Data!E2))</calculatedColumnFormula>
    </tableColumn>
    <tableColumn id="6" xr3:uid="{E7B2AC9F-CAE7-4D0D-A34B-15B8798741B9}" name="Customer Type">
      <calculatedColumnFormula>IF(TRIM(Raw_Data!F2)="","Review",PROPER(TRIM(Raw_Data!F2)))</calculatedColumnFormula>
    </tableColumn>
    <tableColumn id="7" xr3:uid="{1909D409-79E5-42FE-9FE5-3280910000B9}" name="Quantity">
      <calculatedColumnFormula>Raw_Data!G2</calculatedColumnFormula>
    </tableColumn>
    <tableColumn id="8" xr3:uid="{FD991311-AB8C-4E7E-BC8A-289F307E6207}" name="Sales">
      <calculatedColumnFormula>IF(Raw_Data!H2="","",Raw_Data!H2)</calculatedColumnFormula>
    </tableColumn>
    <tableColumn id="9" xr3:uid="{2E582E73-EE4B-4237-ABEA-B157F891B890}" name="Profit">
      <calculatedColumnFormula>IF(Raw_Data!I2="","",Raw_Data!I2)</calculatedColumnFormula>
    </tableColumn>
    <tableColumn id="10" xr3:uid="{F89D02E6-68B2-4D7D-B59F-1ACAAEF7EF3F}" name="Payment Mode">
      <calculatedColumnFormula>IF(TRIM(Raw_Data!J2)="","Review",PROPER(TRIM(Raw_Data!J2)))</calculatedColumnFormula>
    </tableColumn>
    <tableColumn id="11" xr3:uid="{34C4B834-A2CB-48A4-9A4B-E29AC7EDC0F9}" name="Data Quality Status">
      <calculatedColumnFormula>IF(OR(H2="",I2="",J2="Review",F2="Review"),"Review","OK")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pane ySplit="1" topLeftCell="A2" activePane="bottomLeft" state="frozen"/>
      <selection pane="bottomLeft" activeCell="L7" sqref="L7"/>
    </sheetView>
  </sheetViews>
  <sheetFormatPr defaultRowHeight="15"/>
  <cols>
    <col min="1" max="3" width="14" customWidth="1"/>
    <col min="4" max="4" width="16" customWidth="1"/>
    <col min="5" max="5" width="20" customWidth="1"/>
    <col min="6" max="6" width="16" customWidth="1"/>
    <col min="7" max="7" width="12" customWidth="1"/>
    <col min="8" max="9" width="14" customWidth="1"/>
    <col min="10" max="10" width="16" customWidth="1"/>
  </cols>
  <sheetData>
    <row r="1" spans="1:10">
      <c r="A1" s="6" t="s">
        <v>0</v>
      </c>
      <c r="B1" s="6" t="s">
        <v>1</v>
      </c>
      <c r="C1" s="6" t="s">
        <v>2</v>
      </c>
      <c r="D1" s="6" t="s">
        <v>3</v>
      </c>
      <c r="E1" s="6" t="s">
        <v>4</v>
      </c>
      <c r="F1" s="6" t="s">
        <v>5</v>
      </c>
      <c r="G1" s="6" t="s">
        <v>6</v>
      </c>
      <c r="H1" s="6" t="s">
        <v>7</v>
      </c>
      <c r="I1" s="6" t="s">
        <v>8</v>
      </c>
      <c r="J1" s="6" t="s">
        <v>9</v>
      </c>
    </row>
    <row r="2" spans="1:10">
      <c r="A2" t="s">
        <v>10</v>
      </c>
      <c r="B2" t="s">
        <v>11</v>
      </c>
      <c r="C2" t="s">
        <v>12</v>
      </c>
      <c r="D2" t="s">
        <v>13</v>
      </c>
      <c r="E2" t="s">
        <v>14</v>
      </c>
      <c r="F2" t="s">
        <v>15</v>
      </c>
      <c r="G2">
        <v>1</v>
      </c>
      <c r="H2">
        <v>3354.59</v>
      </c>
      <c r="I2">
        <v>27.38</v>
      </c>
      <c r="J2" t="s">
        <v>16</v>
      </c>
    </row>
    <row r="3" spans="1:10">
      <c r="A3" t="s">
        <v>17</v>
      </c>
      <c r="B3" t="s">
        <v>18</v>
      </c>
      <c r="C3" t="s">
        <v>19</v>
      </c>
      <c r="D3" t="s">
        <v>20</v>
      </c>
      <c r="E3" t="s">
        <v>21</v>
      </c>
      <c r="F3" t="s">
        <v>22</v>
      </c>
      <c r="G3">
        <v>1</v>
      </c>
      <c r="H3">
        <v>49073.83</v>
      </c>
      <c r="I3">
        <v>5001.99</v>
      </c>
      <c r="J3" t="s">
        <v>23</v>
      </c>
    </row>
    <row r="4" spans="1:10">
      <c r="A4" t="s">
        <v>24</v>
      </c>
      <c r="B4" t="s">
        <v>25</v>
      </c>
      <c r="C4" t="s">
        <v>26</v>
      </c>
      <c r="D4" t="s">
        <v>27</v>
      </c>
      <c r="E4" t="s">
        <v>28</v>
      </c>
      <c r="F4" t="s">
        <v>22</v>
      </c>
      <c r="G4">
        <v>3</v>
      </c>
      <c r="H4">
        <v>6052.75</v>
      </c>
      <c r="I4">
        <v>-470.06</v>
      </c>
      <c r="J4" t="s">
        <v>29</v>
      </c>
    </row>
    <row r="5" spans="1:10">
      <c r="A5" t="s">
        <v>30</v>
      </c>
      <c r="B5" t="s">
        <v>31</v>
      </c>
      <c r="C5" t="s">
        <v>32</v>
      </c>
      <c r="D5" t="s">
        <v>20</v>
      </c>
      <c r="E5" t="s">
        <v>33</v>
      </c>
      <c r="F5" t="s">
        <v>22</v>
      </c>
      <c r="G5">
        <v>3</v>
      </c>
      <c r="H5">
        <v>6903.32</v>
      </c>
      <c r="I5">
        <v>391.93</v>
      </c>
      <c r="J5" t="s">
        <v>34</v>
      </c>
    </row>
    <row r="6" spans="1:10">
      <c r="A6" t="s">
        <v>35</v>
      </c>
      <c r="B6" t="s">
        <v>36</v>
      </c>
      <c r="C6" t="s">
        <v>32</v>
      </c>
      <c r="D6" t="s">
        <v>13</v>
      </c>
      <c r="E6" t="s">
        <v>37</v>
      </c>
      <c r="F6" t="s">
        <v>22</v>
      </c>
      <c r="G6">
        <v>5</v>
      </c>
      <c r="H6">
        <v>12949.51</v>
      </c>
      <c r="I6">
        <v>3263.62</v>
      </c>
      <c r="J6" t="s">
        <v>23</v>
      </c>
    </row>
    <row r="7" spans="1:10">
      <c r="A7" t="s">
        <v>38</v>
      </c>
      <c r="B7" t="s">
        <v>36</v>
      </c>
      <c r="C7" t="s">
        <v>19</v>
      </c>
      <c r="D7" t="s">
        <v>13</v>
      </c>
      <c r="E7" t="s">
        <v>14</v>
      </c>
      <c r="F7" t="s">
        <v>15</v>
      </c>
      <c r="G7">
        <v>1</v>
      </c>
      <c r="H7">
        <v>3303.21</v>
      </c>
      <c r="I7">
        <v>655.04</v>
      </c>
      <c r="J7" t="s">
        <v>16</v>
      </c>
    </row>
    <row r="8" spans="1:10">
      <c r="A8" t="s">
        <v>39</v>
      </c>
      <c r="B8" t="s">
        <v>40</v>
      </c>
      <c r="C8" t="s">
        <v>32</v>
      </c>
      <c r="D8" t="s">
        <v>27</v>
      </c>
      <c r="E8" t="s">
        <v>41</v>
      </c>
      <c r="F8" t="s">
        <v>15</v>
      </c>
      <c r="G8">
        <v>3</v>
      </c>
      <c r="H8">
        <v>9791.57</v>
      </c>
      <c r="I8">
        <v>468.99</v>
      </c>
      <c r="J8" t="s">
        <v>23</v>
      </c>
    </row>
    <row r="9" spans="1:10">
      <c r="A9" t="s">
        <v>42</v>
      </c>
      <c r="B9" t="s">
        <v>43</v>
      </c>
      <c r="C9" t="s">
        <v>19</v>
      </c>
      <c r="D9" t="s">
        <v>13</v>
      </c>
      <c r="E9" t="s">
        <v>44</v>
      </c>
      <c r="F9" t="s">
        <v>22</v>
      </c>
      <c r="G9">
        <v>2</v>
      </c>
      <c r="H9">
        <v>1786.41</v>
      </c>
      <c r="I9">
        <v>30.69</v>
      </c>
      <c r="J9" t="s">
        <v>34</v>
      </c>
    </row>
    <row r="10" spans="1:10">
      <c r="A10" t="s">
        <v>45</v>
      </c>
      <c r="B10" t="s">
        <v>46</v>
      </c>
      <c r="C10" t="s">
        <v>32</v>
      </c>
      <c r="D10" t="s">
        <v>20</v>
      </c>
      <c r="E10" t="s">
        <v>21</v>
      </c>
      <c r="F10" t="s">
        <v>15</v>
      </c>
      <c r="G10">
        <v>3</v>
      </c>
      <c r="H10">
        <v>152916.34</v>
      </c>
      <c r="I10">
        <v>-8589.6299999999992</v>
      </c>
      <c r="J10" t="s">
        <v>16</v>
      </c>
    </row>
    <row r="11" spans="1:10">
      <c r="A11" t="s">
        <v>47</v>
      </c>
      <c r="B11" t="s">
        <v>48</v>
      </c>
      <c r="C11" t="s">
        <v>32</v>
      </c>
      <c r="D11" t="s">
        <v>27</v>
      </c>
      <c r="E11" t="s">
        <v>41</v>
      </c>
      <c r="F11" t="s">
        <v>22</v>
      </c>
      <c r="G11">
        <v>2</v>
      </c>
      <c r="H11">
        <v>6670.83</v>
      </c>
      <c r="I11">
        <v>58.61</v>
      </c>
      <c r="J11" t="s">
        <v>16</v>
      </c>
    </row>
    <row r="12" spans="1:10">
      <c r="A12" t="s">
        <v>49</v>
      </c>
      <c r="B12" t="s">
        <v>50</v>
      </c>
      <c r="C12" t="s">
        <v>12</v>
      </c>
      <c r="D12" t="s">
        <v>27</v>
      </c>
      <c r="E12" t="s">
        <v>51</v>
      </c>
      <c r="F12" t="s">
        <v>15</v>
      </c>
      <c r="G12">
        <v>2</v>
      </c>
      <c r="H12">
        <v>1402.67</v>
      </c>
      <c r="I12">
        <v>-66.31</v>
      </c>
      <c r="J12" t="s">
        <v>23</v>
      </c>
    </row>
    <row r="13" spans="1:10">
      <c r="A13" t="s">
        <v>52</v>
      </c>
      <c r="B13" t="s">
        <v>53</v>
      </c>
      <c r="C13" t="s">
        <v>32</v>
      </c>
      <c r="D13" t="s">
        <v>13</v>
      </c>
      <c r="E13" t="s">
        <v>37</v>
      </c>
      <c r="F13" t="s">
        <v>15</v>
      </c>
      <c r="G13">
        <v>5</v>
      </c>
      <c r="H13">
        <v>12777.88</v>
      </c>
      <c r="I13">
        <v>733.23</v>
      </c>
      <c r="J13" t="s">
        <v>34</v>
      </c>
    </row>
    <row r="14" spans="1:10">
      <c r="A14" t="s">
        <v>54</v>
      </c>
      <c r="B14" t="s">
        <v>55</v>
      </c>
      <c r="C14" t="s">
        <v>26</v>
      </c>
      <c r="D14" t="s">
        <v>13</v>
      </c>
      <c r="E14" t="s">
        <v>56</v>
      </c>
      <c r="F14" t="s">
        <v>15</v>
      </c>
      <c r="G14">
        <v>3</v>
      </c>
      <c r="H14">
        <v>14225.22</v>
      </c>
      <c r="I14">
        <v>604.04999999999995</v>
      </c>
      <c r="J14" t="s">
        <v>16</v>
      </c>
    </row>
    <row r="15" spans="1:10">
      <c r="A15" t="s">
        <v>57</v>
      </c>
      <c r="B15" t="s">
        <v>58</v>
      </c>
      <c r="C15" t="s">
        <v>32</v>
      </c>
      <c r="D15" t="s">
        <v>20</v>
      </c>
      <c r="E15" t="s">
        <v>59</v>
      </c>
      <c r="F15" t="s">
        <v>15</v>
      </c>
      <c r="G15">
        <v>5</v>
      </c>
      <c r="H15">
        <v>147334.94</v>
      </c>
      <c r="I15">
        <v>15140.93</v>
      </c>
      <c r="J15" t="s">
        <v>23</v>
      </c>
    </row>
    <row r="16" spans="1:10">
      <c r="A16" t="s">
        <v>60</v>
      </c>
      <c r="B16" t="s">
        <v>61</v>
      </c>
      <c r="C16" t="s">
        <v>32</v>
      </c>
      <c r="D16" t="s">
        <v>27</v>
      </c>
      <c r="E16" t="s">
        <v>51</v>
      </c>
      <c r="F16" t="s">
        <v>22</v>
      </c>
      <c r="G16">
        <v>5</v>
      </c>
      <c r="H16">
        <v>3817.45</v>
      </c>
      <c r="I16">
        <v>962.29</v>
      </c>
      <c r="J16" t="s">
        <v>34</v>
      </c>
    </row>
    <row r="17" spans="1:10">
      <c r="A17" t="s">
        <v>62</v>
      </c>
      <c r="B17" t="s">
        <v>46</v>
      </c>
      <c r="C17" t="s">
        <v>12</v>
      </c>
      <c r="D17" t="s">
        <v>20</v>
      </c>
      <c r="E17" t="s">
        <v>59</v>
      </c>
      <c r="F17" t="s">
        <v>15</v>
      </c>
      <c r="G17">
        <v>3</v>
      </c>
      <c r="H17">
        <v>79622.8</v>
      </c>
      <c r="I17">
        <v>534.57000000000005</v>
      </c>
      <c r="J17" t="s">
        <v>16</v>
      </c>
    </row>
    <row r="18" spans="1:10">
      <c r="A18" t="s">
        <v>63</v>
      </c>
      <c r="B18" t="s">
        <v>64</v>
      </c>
      <c r="C18" t="s">
        <v>65</v>
      </c>
      <c r="D18" t="s">
        <v>20</v>
      </c>
      <c r="E18" t="s">
        <v>66</v>
      </c>
      <c r="F18" t="s">
        <v>22</v>
      </c>
      <c r="G18">
        <v>2</v>
      </c>
      <c r="H18">
        <v>22216.28</v>
      </c>
      <c r="I18">
        <v>2023.94</v>
      </c>
      <c r="J18" t="s">
        <v>16</v>
      </c>
    </row>
    <row r="19" spans="1:10">
      <c r="A19" t="s">
        <v>67</v>
      </c>
      <c r="B19" t="s">
        <v>40</v>
      </c>
      <c r="C19" t="s">
        <v>32</v>
      </c>
      <c r="D19" t="s">
        <v>20</v>
      </c>
      <c r="E19" t="s">
        <v>66</v>
      </c>
      <c r="F19" t="s">
        <v>22</v>
      </c>
      <c r="G19">
        <v>2</v>
      </c>
      <c r="H19">
        <v>25022.16</v>
      </c>
      <c r="I19">
        <v>1592.34</v>
      </c>
      <c r="J19" t="s">
        <v>16</v>
      </c>
    </row>
    <row r="20" spans="1:10">
      <c r="A20" t="s">
        <v>68</v>
      </c>
      <c r="B20" t="s">
        <v>69</v>
      </c>
      <c r="C20" t="s">
        <v>19</v>
      </c>
      <c r="D20" t="s">
        <v>20</v>
      </c>
      <c r="E20" t="s">
        <v>33</v>
      </c>
      <c r="F20" t="s">
        <v>15</v>
      </c>
      <c r="G20">
        <v>2</v>
      </c>
      <c r="H20">
        <v>4564.03</v>
      </c>
      <c r="I20">
        <v>-330.56</v>
      </c>
      <c r="J20" t="s">
        <v>34</v>
      </c>
    </row>
    <row r="21" spans="1:10">
      <c r="A21" t="s">
        <v>70</v>
      </c>
      <c r="B21" t="s">
        <v>71</v>
      </c>
      <c r="C21" t="s">
        <v>12</v>
      </c>
      <c r="D21" t="s">
        <v>20</v>
      </c>
      <c r="E21" t="s">
        <v>21</v>
      </c>
      <c r="F21" t="s">
        <v>15</v>
      </c>
      <c r="G21">
        <v>2</v>
      </c>
      <c r="H21">
        <v>95001.93</v>
      </c>
      <c r="I21">
        <v>-6525.81</v>
      </c>
      <c r="J21" t="s">
        <v>29</v>
      </c>
    </row>
    <row r="22" spans="1:10">
      <c r="A22" t="s">
        <v>72</v>
      </c>
      <c r="B22" t="s">
        <v>73</v>
      </c>
      <c r="C22" t="s">
        <v>26</v>
      </c>
      <c r="D22" t="s">
        <v>13</v>
      </c>
      <c r="E22" t="s">
        <v>37</v>
      </c>
      <c r="F22" t="s">
        <v>15</v>
      </c>
      <c r="G22">
        <v>2</v>
      </c>
      <c r="H22">
        <v>5643.94</v>
      </c>
      <c r="I22">
        <v>1018.21</v>
      </c>
      <c r="J22" t="s">
        <v>16</v>
      </c>
    </row>
    <row r="23" spans="1:10">
      <c r="A23" t="s">
        <v>74</v>
      </c>
      <c r="B23" t="s">
        <v>75</v>
      </c>
      <c r="C23" t="s">
        <v>26</v>
      </c>
      <c r="D23" t="s">
        <v>27</v>
      </c>
      <c r="E23" t="s">
        <v>51</v>
      </c>
      <c r="F23" t="s">
        <v>22</v>
      </c>
      <c r="G23">
        <v>1</v>
      </c>
      <c r="H23">
        <v>643.57000000000005</v>
      </c>
      <c r="I23">
        <v>48.38</v>
      </c>
      <c r="J23" t="s">
        <v>34</v>
      </c>
    </row>
    <row r="24" spans="1:10">
      <c r="A24" t="s">
        <v>76</v>
      </c>
      <c r="B24" t="s">
        <v>77</v>
      </c>
      <c r="C24" t="s">
        <v>19</v>
      </c>
      <c r="D24" t="s">
        <v>13</v>
      </c>
      <c r="E24" t="s">
        <v>14</v>
      </c>
      <c r="F24" t="s">
        <v>15</v>
      </c>
      <c r="G24">
        <v>1</v>
      </c>
      <c r="H24">
        <v>3137.68</v>
      </c>
      <c r="I24">
        <v>132.25</v>
      </c>
      <c r="J24" t="s">
        <v>23</v>
      </c>
    </row>
    <row r="25" spans="1:10">
      <c r="A25" t="s">
        <v>78</v>
      </c>
      <c r="B25" t="s">
        <v>79</v>
      </c>
      <c r="C25" t="s">
        <v>12</v>
      </c>
      <c r="D25" t="s">
        <v>13</v>
      </c>
      <c r="E25" t="s">
        <v>37</v>
      </c>
      <c r="F25" t="s">
        <v>22</v>
      </c>
      <c r="G25">
        <v>2</v>
      </c>
      <c r="H25">
        <v>5512.51</v>
      </c>
      <c r="I25">
        <v>111.77</v>
      </c>
      <c r="J25" t="s">
        <v>34</v>
      </c>
    </row>
    <row r="26" spans="1:10">
      <c r="A26" t="s">
        <v>80</v>
      </c>
      <c r="B26" t="s">
        <v>81</v>
      </c>
      <c r="C26" t="s">
        <v>19</v>
      </c>
      <c r="D26" t="s">
        <v>20</v>
      </c>
      <c r="E26" t="s">
        <v>66</v>
      </c>
      <c r="F26" t="s">
        <v>22</v>
      </c>
      <c r="G26">
        <v>1</v>
      </c>
      <c r="H26">
        <v>13125.59</v>
      </c>
      <c r="I26">
        <v>3327.23</v>
      </c>
      <c r="J26" t="s">
        <v>16</v>
      </c>
    </row>
    <row r="27" spans="1:10">
      <c r="A27" t="s">
        <v>82</v>
      </c>
      <c r="B27" t="s">
        <v>83</v>
      </c>
      <c r="C27" t="s">
        <v>26</v>
      </c>
      <c r="D27" t="s">
        <v>27</v>
      </c>
      <c r="E27" t="s">
        <v>51</v>
      </c>
      <c r="F27" t="s">
        <v>22</v>
      </c>
      <c r="G27">
        <v>4</v>
      </c>
      <c r="H27">
        <v>3025.37</v>
      </c>
      <c r="I27">
        <v>-62.72</v>
      </c>
      <c r="J27" t="s">
        <v>16</v>
      </c>
    </row>
    <row r="28" spans="1:10">
      <c r="A28" t="s">
        <v>84</v>
      </c>
      <c r="B28" t="s">
        <v>85</v>
      </c>
      <c r="C28" t="s">
        <v>32</v>
      </c>
      <c r="D28" t="s">
        <v>27</v>
      </c>
      <c r="E28" t="s">
        <v>41</v>
      </c>
      <c r="F28" t="s">
        <v>15</v>
      </c>
      <c r="G28">
        <v>5</v>
      </c>
      <c r="H28">
        <v>18066.55</v>
      </c>
      <c r="I28">
        <v>1719.97</v>
      </c>
      <c r="J28" t="s">
        <v>34</v>
      </c>
    </row>
    <row r="29" spans="1:10">
      <c r="A29" t="s">
        <v>86</v>
      </c>
      <c r="B29" t="s">
        <v>87</v>
      </c>
      <c r="C29" t="s">
        <v>26</v>
      </c>
      <c r="D29" t="s">
        <v>13</v>
      </c>
      <c r="E29" t="s">
        <v>56</v>
      </c>
      <c r="F29" t="s">
        <v>15</v>
      </c>
      <c r="G29">
        <v>1</v>
      </c>
      <c r="H29">
        <v>4723.18</v>
      </c>
      <c r="I29">
        <v>-280.64999999999998</v>
      </c>
      <c r="J29" t="s">
        <v>34</v>
      </c>
    </row>
    <row r="30" spans="1:10">
      <c r="A30" t="s">
        <v>88</v>
      </c>
      <c r="B30" t="s">
        <v>89</v>
      </c>
      <c r="C30" t="s">
        <v>26</v>
      </c>
      <c r="D30" t="s">
        <v>13</v>
      </c>
      <c r="E30" t="s">
        <v>14</v>
      </c>
      <c r="F30" t="s">
        <v>15</v>
      </c>
      <c r="G30">
        <v>2</v>
      </c>
      <c r="H30">
        <v>5847.71</v>
      </c>
      <c r="I30">
        <v>-324.75</v>
      </c>
      <c r="J30" t="s">
        <v>23</v>
      </c>
    </row>
    <row r="31" spans="1:10">
      <c r="A31" t="s">
        <v>90</v>
      </c>
      <c r="B31" t="s">
        <v>91</v>
      </c>
      <c r="C31" t="s">
        <v>32</v>
      </c>
      <c r="D31" t="s">
        <v>13</v>
      </c>
      <c r="E31" t="s">
        <v>56</v>
      </c>
      <c r="F31" t="s">
        <v>22</v>
      </c>
      <c r="G31">
        <v>1</v>
      </c>
      <c r="H31">
        <v>4607.4399999999996</v>
      </c>
      <c r="I31">
        <v>326.76</v>
      </c>
      <c r="J31" t="s">
        <v>23</v>
      </c>
    </row>
    <row r="32" spans="1:10">
      <c r="A32" t="s">
        <v>92</v>
      </c>
      <c r="B32" t="s">
        <v>93</v>
      </c>
      <c r="C32" t="s">
        <v>32</v>
      </c>
      <c r="D32" t="s">
        <v>13</v>
      </c>
      <c r="E32" t="s">
        <v>94</v>
      </c>
      <c r="F32" t="s">
        <v>22</v>
      </c>
      <c r="G32">
        <v>2</v>
      </c>
      <c r="H32">
        <v>2668.74</v>
      </c>
      <c r="I32">
        <v>-87.76</v>
      </c>
      <c r="J32" t="s">
        <v>29</v>
      </c>
    </row>
    <row r="33" spans="1:10">
      <c r="A33" t="s">
        <v>95</v>
      </c>
      <c r="B33" t="s">
        <v>96</v>
      </c>
      <c r="C33" t="s">
        <v>12</v>
      </c>
      <c r="D33" t="s">
        <v>20</v>
      </c>
      <c r="E33" t="s">
        <v>21</v>
      </c>
      <c r="F33" t="s">
        <v>15</v>
      </c>
      <c r="G33">
        <v>4</v>
      </c>
      <c r="H33">
        <v>213040.23</v>
      </c>
      <c r="I33">
        <v>26135.29</v>
      </c>
      <c r="J33" t="s">
        <v>29</v>
      </c>
    </row>
    <row r="34" spans="1:10">
      <c r="A34" t="s">
        <v>97</v>
      </c>
      <c r="B34" t="s">
        <v>98</v>
      </c>
      <c r="C34" t="s">
        <v>26</v>
      </c>
      <c r="D34" t="s">
        <v>20</v>
      </c>
      <c r="E34" t="s">
        <v>59</v>
      </c>
      <c r="F34" t="s">
        <v>22</v>
      </c>
      <c r="G34">
        <v>1</v>
      </c>
      <c r="H34">
        <v>30123.91</v>
      </c>
      <c r="I34">
        <v>1597.46</v>
      </c>
      <c r="J34" t="s">
        <v>34</v>
      </c>
    </row>
    <row r="35" spans="1:10">
      <c r="A35" t="s">
        <v>99</v>
      </c>
      <c r="B35" t="s">
        <v>100</v>
      </c>
      <c r="C35" t="s">
        <v>32</v>
      </c>
      <c r="D35" t="s">
        <v>101</v>
      </c>
      <c r="E35" t="s">
        <v>56</v>
      </c>
      <c r="F35" t="s">
        <v>15</v>
      </c>
      <c r="G35">
        <v>3</v>
      </c>
      <c r="H35">
        <v>14665.74</v>
      </c>
      <c r="I35">
        <v>-626.36</v>
      </c>
      <c r="J35" t="s">
        <v>34</v>
      </c>
    </row>
    <row r="36" spans="1:10">
      <c r="A36" t="s">
        <v>102</v>
      </c>
      <c r="B36" t="s">
        <v>103</v>
      </c>
      <c r="C36" t="s">
        <v>19</v>
      </c>
      <c r="D36" t="s">
        <v>13</v>
      </c>
      <c r="E36" t="s">
        <v>56</v>
      </c>
      <c r="F36" t="s">
        <v>22</v>
      </c>
      <c r="G36">
        <v>2</v>
      </c>
      <c r="H36">
        <v>8590.23</v>
      </c>
      <c r="I36">
        <v>1183.21</v>
      </c>
      <c r="J36" t="s">
        <v>16</v>
      </c>
    </row>
    <row r="37" spans="1:10">
      <c r="A37" t="s">
        <v>104</v>
      </c>
      <c r="B37" t="s">
        <v>105</v>
      </c>
      <c r="C37" t="s">
        <v>12</v>
      </c>
      <c r="D37" t="s">
        <v>27</v>
      </c>
      <c r="E37" t="s">
        <v>106</v>
      </c>
      <c r="F37" t="s">
        <v>22</v>
      </c>
      <c r="G37">
        <v>1</v>
      </c>
      <c r="H37">
        <v>2259.09</v>
      </c>
      <c r="I37">
        <v>493.76</v>
      </c>
      <c r="J37" t="s">
        <v>23</v>
      </c>
    </row>
    <row r="38" spans="1:10">
      <c r="A38" t="s">
        <v>107</v>
      </c>
      <c r="B38" t="s">
        <v>108</v>
      </c>
      <c r="C38" t="s">
        <v>12</v>
      </c>
      <c r="D38" t="s">
        <v>13</v>
      </c>
      <c r="E38" t="s">
        <v>94</v>
      </c>
      <c r="F38" t="s">
        <v>15</v>
      </c>
      <c r="G38">
        <v>2</v>
      </c>
      <c r="H38">
        <v>2935.09</v>
      </c>
      <c r="I38">
        <v>348.12</v>
      </c>
      <c r="J38" t="s">
        <v>34</v>
      </c>
    </row>
    <row r="39" spans="1:10">
      <c r="A39" t="s">
        <v>109</v>
      </c>
      <c r="B39" t="s">
        <v>110</v>
      </c>
      <c r="C39" t="s">
        <v>19</v>
      </c>
      <c r="D39" t="s">
        <v>13</v>
      </c>
      <c r="E39" t="s">
        <v>44</v>
      </c>
      <c r="F39" t="s">
        <v>22</v>
      </c>
      <c r="G39">
        <v>5</v>
      </c>
      <c r="H39">
        <v>4082.43</v>
      </c>
      <c r="I39">
        <v>216.03</v>
      </c>
      <c r="J39" t="s">
        <v>23</v>
      </c>
    </row>
    <row r="40" spans="1:10">
      <c r="A40" t="s">
        <v>111</v>
      </c>
      <c r="B40" t="s">
        <v>112</v>
      </c>
      <c r="C40" t="s">
        <v>32</v>
      </c>
      <c r="D40" t="s">
        <v>20</v>
      </c>
      <c r="E40" t="s">
        <v>59</v>
      </c>
      <c r="F40" t="s">
        <v>15</v>
      </c>
      <c r="G40">
        <v>3</v>
      </c>
      <c r="H40">
        <v>90702.89</v>
      </c>
      <c r="I40">
        <v>18739.580000000002</v>
      </c>
      <c r="J40" t="s">
        <v>23</v>
      </c>
    </row>
    <row r="41" spans="1:10">
      <c r="A41" t="s">
        <v>113</v>
      </c>
      <c r="B41" t="s">
        <v>114</v>
      </c>
      <c r="C41" t="s">
        <v>19</v>
      </c>
      <c r="D41" t="s">
        <v>13</v>
      </c>
      <c r="E41" t="s">
        <v>14</v>
      </c>
      <c r="F41" t="s">
        <v>15</v>
      </c>
      <c r="G41">
        <v>3</v>
      </c>
      <c r="H41">
        <v>10137.82</v>
      </c>
      <c r="I41">
        <v>2415.73</v>
      </c>
      <c r="J41" t="s">
        <v>23</v>
      </c>
    </row>
    <row r="42" spans="1:10">
      <c r="A42" t="s">
        <v>115</v>
      </c>
      <c r="B42" t="s">
        <v>116</v>
      </c>
      <c r="C42" t="s">
        <v>19</v>
      </c>
      <c r="D42" t="s">
        <v>20</v>
      </c>
      <c r="E42" t="s">
        <v>117</v>
      </c>
      <c r="F42" t="s">
        <v>22</v>
      </c>
      <c r="G42">
        <v>1</v>
      </c>
      <c r="H42">
        <v>1684.57</v>
      </c>
      <c r="I42">
        <v>425.89</v>
      </c>
      <c r="J42" t="s">
        <v>23</v>
      </c>
    </row>
    <row r="43" spans="1:10">
      <c r="A43" t="s">
        <v>118</v>
      </c>
      <c r="B43" t="s">
        <v>119</v>
      </c>
      <c r="C43" t="s">
        <v>19</v>
      </c>
      <c r="D43" t="s">
        <v>13</v>
      </c>
      <c r="E43" t="s">
        <v>14</v>
      </c>
      <c r="F43" t="s">
        <v>22</v>
      </c>
      <c r="G43">
        <v>4</v>
      </c>
      <c r="H43">
        <v>13752.75</v>
      </c>
      <c r="I43">
        <v>3150.67</v>
      </c>
      <c r="J43" t="s">
        <v>29</v>
      </c>
    </row>
    <row r="44" spans="1:10">
      <c r="A44" t="s">
        <v>120</v>
      </c>
      <c r="B44" t="s">
        <v>121</v>
      </c>
      <c r="C44" t="s">
        <v>32</v>
      </c>
      <c r="D44" t="s">
        <v>27</v>
      </c>
      <c r="E44" t="s">
        <v>51</v>
      </c>
      <c r="F44" t="s">
        <v>15</v>
      </c>
      <c r="G44">
        <v>2</v>
      </c>
      <c r="H44">
        <v>1266.6300000000001</v>
      </c>
      <c r="I44">
        <v>-13.27</v>
      </c>
      <c r="J44" t="s">
        <v>29</v>
      </c>
    </row>
    <row r="45" spans="1:10">
      <c r="A45" t="s">
        <v>122</v>
      </c>
      <c r="B45" t="s">
        <v>71</v>
      </c>
      <c r="C45" t="s">
        <v>12</v>
      </c>
      <c r="D45" t="s">
        <v>27</v>
      </c>
      <c r="E45" t="s">
        <v>28</v>
      </c>
      <c r="F45" t="s">
        <v>15</v>
      </c>
      <c r="G45">
        <v>4</v>
      </c>
      <c r="H45">
        <v>7872.87</v>
      </c>
      <c r="I45">
        <v>1761.3</v>
      </c>
      <c r="J45" t="s">
        <v>29</v>
      </c>
    </row>
    <row r="46" spans="1:10">
      <c r="A46" t="s">
        <v>123</v>
      </c>
      <c r="B46" t="s">
        <v>124</v>
      </c>
      <c r="C46" t="s">
        <v>32</v>
      </c>
      <c r="D46" t="s">
        <v>20</v>
      </c>
      <c r="E46" t="s">
        <v>66</v>
      </c>
      <c r="F46" t="s">
        <v>22</v>
      </c>
      <c r="G46">
        <v>3</v>
      </c>
      <c r="H46">
        <v>32675.45</v>
      </c>
      <c r="I46">
        <v>4403.53</v>
      </c>
      <c r="J46" t="s">
        <v>34</v>
      </c>
    </row>
    <row r="47" spans="1:10">
      <c r="A47" t="s">
        <v>125</v>
      </c>
      <c r="B47" t="s">
        <v>61</v>
      </c>
      <c r="C47" t="s">
        <v>19</v>
      </c>
      <c r="D47" t="s">
        <v>27</v>
      </c>
      <c r="E47" t="s">
        <v>28</v>
      </c>
      <c r="F47" t="s">
        <v>22</v>
      </c>
      <c r="G47">
        <v>2</v>
      </c>
      <c r="H47">
        <v>3613.59</v>
      </c>
      <c r="I47">
        <v>632.97</v>
      </c>
      <c r="J47" t="s">
        <v>16</v>
      </c>
    </row>
    <row r="48" spans="1:10">
      <c r="A48" t="s">
        <v>126</v>
      </c>
      <c r="B48" t="s">
        <v>127</v>
      </c>
      <c r="C48" t="s">
        <v>32</v>
      </c>
      <c r="D48" t="s">
        <v>20</v>
      </c>
      <c r="E48" t="s">
        <v>59</v>
      </c>
      <c r="F48" t="s">
        <v>22</v>
      </c>
      <c r="G48">
        <v>5</v>
      </c>
      <c r="H48">
        <v>134789.64000000001</v>
      </c>
      <c r="I48">
        <v>30366.15</v>
      </c>
      <c r="J48" t="s">
        <v>29</v>
      </c>
    </row>
    <row r="49" spans="1:10">
      <c r="A49" t="s">
        <v>128</v>
      </c>
      <c r="B49" t="s">
        <v>129</v>
      </c>
      <c r="C49" t="s">
        <v>19</v>
      </c>
      <c r="D49" t="s">
        <v>27</v>
      </c>
      <c r="E49" t="s">
        <v>130</v>
      </c>
      <c r="F49" t="s">
        <v>22</v>
      </c>
      <c r="G49">
        <v>5</v>
      </c>
      <c r="H49">
        <v>7403.66</v>
      </c>
      <c r="I49">
        <v>528.33000000000004</v>
      </c>
      <c r="J49" t="s">
        <v>16</v>
      </c>
    </row>
    <row r="50" spans="1:10">
      <c r="A50" t="s">
        <v>131</v>
      </c>
      <c r="B50" t="s">
        <v>132</v>
      </c>
      <c r="C50" t="s">
        <v>32</v>
      </c>
      <c r="D50" t="s">
        <v>13</v>
      </c>
      <c r="E50" t="s">
        <v>14</v>
      </c>
      <c r="F50" t="s">
        <v>22</v>
      </c>
      <c r="G50">
        <v>3</v>
      </c>
      <c r="H50">
        <v>9190.8700000000008</v>
      </c>
      <c r="I50">
        <v>687.11</v>
      </c>
      <c r="J50" t="s">
        <v>16</v>
      </c>
    </row>
    <row r="51" spans="1:10">
      <c r="A51" t="s">
        <v>133</v>
      </c>
      <c r="B51" t="s">
        <v>134</v>
      </c>
      <c r="C51" t="s">
        <v>12</v>
      </c>
      <c r="D51" t="s">
        <v>27</v>
      </c>
      <c r="E51" t="s">
        <v>51</v>
      </c>
      <c r="F51" t="s">
        <v>22</v>
      </c>
      <c r="G51">
        <v>5</v>
      </c>
      <c r="H51">
        <v>3481.23</v>
      </c>
      <c r="I51">
        <v>850.9</v>
      </c>
      <c r="J51" t="s">
        <v>29</v>
      </c>
    </row>
    <row r="52" spans="1:10">
      <c r="A52" t="s">
        <v>135</v>
      </c>
      <c r="B52" t="s">
        <v>136</v>
      </c>
      <c r="C52" t="s">
        <v>12</v>
      </c>
      <c r="D52" t="s">
        <v>20</v>
      </c>
      <c r="E52" t="s">
        <v>33</v>
      </c>
      <c r="F52" t="s">
        <v>15</v>
      </c>
      <c r="G52">
        <v>3</v>
      </c>
      <c r="H52">
        <v>7086.96</v>
      </c>
      <c r="I52">
        <v>-58.92</v>
      </c>
      <c r="J52" t="s">
        <v>16</v>
      </c>
    </row>
    <row r="53" spans="1:10">
      <c r="A53" t="s">
        <v>137</v>
      </c>
      <c r="B53" t="s">
        <v>138</v>
      </c>
      <c r="C53" t="s">
        <v>26</v>
      </c>
      <c r="D53" t="s">
        <v>13</v>
      </c>
      <c r="E53" t="s">
        <v>139</v>
      </c>
      <c r="F53" t="s">
        <v>22</v>
      </c>
      <c r="G53">
        <v>4</v>
      </c>
      <c r="H53">
        <v>12580.97</v>
      </c>
      <c r="I53">
        <v>1845.82</v>
      </c>
      <c r="J53" t="s">
        <v>16</v>
      </c>
    </row>
    <row r="54" spans="1:10">
      <c r="A54" t="s">
        <v>140</v>
      </c>
      <c r="B54" t="s">
        <v>58</v>
      </c>
      <c r="C54" t="s">
        <v>26</v>
      </c>
      <c r="D54" t="s">
        <v>20</v>
      </c>
      <c r="E54" t="s">
        <v>33</v>
      </c>
      <c r="F54" t="s">
        <v>15</v>
      </c>
      <c r="G54">
        <v>1</v>
      </c>
      <c r="H54">
        <v>2696.33</v>
      </c>
      <c r="I54">
        <v>619.51</v>
      </c>
      <c r="J54" t="s">
        <v>23</v>
      </c>
    </row>
    <row r="55" spans="1:10">
      <c r="A55" t="s">
        <v>141</v>
      </c>
      <c r="B55" t="s">
        <v>142</v>
      </c>
      <c r="C55" t="s">
        <v>26</v>
      </c>
      <c r="D55" t="s">
        <v>13</v>
      </c>
      <c r="E55" t="s">
        <v>56</v>
      </c>
      <c r="F55" t="s">
        <v>15</v>
      </c>
      <c r="G55">
        <v>4</v>
      </c>
      <c r="H55">
        <v>16380.79</v>
      </c>
      <c r="I55">
        <v>159.08000000000001</v>
      </c>
      <c r="J55" t="s">
        <v>16</v>
      </c>
    </row>
    <row r="56" spans="1:10">
      <c r="A56" t="s">
        <v>143</v>
      </c>
      <c r="B56" t="s">
        <v>144</v>
      </c>
      <c r="C56" t="s">
        <v>26</v>
      </c>
      <c r="D56" t="s">
        <v>13</v>
      </c>
      <c r="E56" t="s">
        <v>56</v>
      </c>
      <c r="F56" t="s">
        <v>22</v>
      </c>
      <c r="G56">
        <v>5</v>
      </c>
      <c r="H56">
        <v>22929.54</v>
      </c>
      <c r="I56">
        <v>6007.87</v>
      </c>
      <c r="J56" t="s">
        <v>23</v>
      </c>
    </row>
    <row r="57" spans="1:10">
      <c r="A57" t="s">
        <v>145</v>
      </c>
      <c r="B57" t="s">
        <v>146</v>
      </c>
      <c r="C57" t="s">
        <v>32</v>
      </c>
      <c r="D57" t="s">
        <v>13</v>
      </c>
      <c r="E57" t="s">
        <v>37</v>
      </c>
      <c r="F57" t="s">
        <v>22</v>
      </c>
      <c r="G57">
        <v>4</v>
      </c>
      <c r="H57">
        <v>10660.59</v>
      </c>
      <c r="I57">
        <v>96.01</v>
      </c>
      <c r="J57" t="s">
        <v>23</v>
      </c>
    </row>
    <row r="58" spans="1:10">
      <c r="A58" t="s">
        <v>147</v>
      </c>
      <c r="B58" t="s">
        <v>148</v>
      </c>
      <c r="C58" t="s">
        <v>32</v>
      </c>
      <c r="D58" t="s">
        <v>27</v>
      </c>
      <c r="E58" t="s">
        <v>41</v>
      </c>
      <c r="F58" t="s">
        <v>15</v>
      </c>
      <c r="G58">
        <v>1</v>
      </c>
      <c r="H58">
        <v>3649.48</v>
      </c>
      <c r="I58">
        <v>16.12</v>
      </c>
      <c r="J58" t="s">
        <v>23</v>
      </c>
    </row>
    <row r="59" spans="1:10">
      <c r="A59" t="s">
        <v>149</v>
      </c>
      <c r="B59" t="s">
        <v>150</v>
      </c>
      <c r="C59" t="s">
        <v>26</v>
      </c>
      <c r="D59" t="s">
        <v>20</v>
      </c>
      <c r="E59" t="s">
        <v>33</v>
      </c>
      <c r="F59" t="s">
        <v>22</v>
      </c>
      <c r="G59">
        <v>4</v>
      </c>
      <c r="H59">
        <v>10387.9</v>
      </c>
      <c r="I59">
        <v>1810.72</v>
      </c>
      <c r="J59" t="s">
        <v>29</v>
      </c>
    </row>
    <row r="60" spans="1:10">
      <c r="A60" t="s">
        <v>151</v>
      </c>
      <c r="B60" t="s">
        <v>152</v>
      </c>
      <c r="C60" t="s">
        <v>12</v>
      </c>
      <c r="D60" t="s">
        <v>13</v>
      </c>
      <c r="E60" t="s">
        <v>37</v>
      </c>
      <c r="F60" t="s">
        <v>22</v>
      </c>
      <c r="G60">
        <v>4</v>
      </c>
      <c r="H60">
        <v>10219.48</v>
      </c>
      <c r="I60">
        <v>2246.66</v>
      </c>
      <c r="J60" t="s">
        <v>16</v>
      </c>
    </row>
    <row r="61" spans="1:10">
      <c r="A61" t="s">
        <v>153</v>
      </c>
      <c r="B61" t="s">
        <v>154</v>
      </c>
      <c r="C61" t="s">
        <v>19</v>
      </c>
      <c r="D61" t="s">
        <v>20</v>
      </c>
      <c r="E61" t="s">
        <v>59</v>
      </c>
      <c r="F61" t="s">
        <v>22</v>
      </c>
      <c r="G61">
        <v>3</v>
      </c>
      <c r="H61">
        <v>88258.38</v>
      </c>
      <c r="I61">
        <v>20055.95</v>
      </c>
      <c r="J61" t="s">
        <v>23</v>
      </c>
    </row>
    <row r="62" spans="1:10">
      <c r="A62" t="s">
        <v>155</v>
      </c>
      <c r="B62" t="s">
        <v>156</v>
      </c>
      <c r="C62" t="s">
        <v>26</v>
      </c>
      <c r="D62" t="s">
        <v>27</v>
      </c>
      <c r="E62" t="s">
        <v>41</v>
      </c>
      <c r="F62" t="s">
        <v>15</v>
      </c>
      <c r="G62">
        <v>4</v>
      </c>
      <c r="H62">
        <v>12681.27</v>
      </c>
      <c r="I62">
        <v>520.02</v>
      </c>
      <c r="J62" t="s">
        <v>16</v>
      </c>
    </row>
    <row r="63" spans="1:10">
      <c r="A63" t="s">
        <v>157</v>
      </c>
      <c r="B63" t="s">
        <v>158</v>
      </c>
      <c r="C63" t="s">
        <v>12</v>
      </c>
      <c r="D63" t="s">
        <v>20</v>
      </c>
      <c r="E63" t="s">
        <v>66</v>
      </c>
      <c r="F63" t="s">
        <v>15</v>
      </c>
      <c r="G63">
        <v>5</v>
      </c>
      <c r="H63">
        <v>54323.6</v>
      </c>
      <c r="I63">
        <v>3359.77</v>
      </c>
      <c r="J63" t="s">
        <v>16</v>
      </c>
    </row>
    <row r="64" spans="1:10">
      <c r="A64" t="s">
        <v>159</v>
      </c>
      <c r="B64" t="s">
        <v>160</v>
      </c>
      <c r="C64" t="s">
        <v>26</v>
      </c>
      <c r="D64" t="s">
        <v>20</v>
      </c>
      <c r="E64" t="s">
        <v>117</v>
      </c>
      <c r="F64" t="s">
        <v>22</v>
      </c>
      <c r="G64">
        <v>2</v>
      </c>
      <c r="H64">
        <v>3276.2</v>
      </c>
      <c r="I64">
        <v>185.03</v>
      </c>
      <c r="J64" t="s">
        <v>29</v>
      </c>
    </row>
    <row r="65" spans="1:10">
      <c r="A65" t="s">
        <v>161</v>
      </c>
      <c r="B65" t="s">
        <v>162</v>
      </c>
      <c r="C65" t="s">
        <v>12</v>
      </c>
      <c r="D65" t="s">
        <v>27</v>
      </c>
      <c r="E65" t="s">
        <v>130</v>
      </c>
      <c r="F65" t="s">
        <v>22</v>
      </c>
      <c r="G65">
        <v>4</v>
      </c>
      <c r="H65">
        <v>6082.91</v>
      </c>
      <c r="I65">
        <v>-307.27</v>
      </c>
    </row>
    <row r="66" spans="1:10">
      <c r="A66" t="s">
        <v>163</v>
      </c>
      <c r="B66" t="s">
        <v>164</v>
      </c>
      <c r="C66" t="s">
        <v>12</v>
      </c>
      <c r="D66" t="s">
        <v>13</v>
      </c>
      <c r="E66" t="s">
        <v>14</v>
      </c>
      <c r="F66" t="s">
        <v>15</v>
      </c>
      <c r="G66">
        <v>1</v>
      </c>
      <c r="H66">
        <v>3362.71</v>
      </c>
      <c r="I66">
        <v>880.56</v>
      </c>
      <c r="J66" t="s">
        <v>23</v>
      </c>
    </row>
    <row r="67" spans="1:10">
      <c r="A67" t="s">
        <v>165</v>
      </c>
      <c r="B67" t="s">
        <v>166</v>
      </c>
      <c r="C67" t="s">
        <v>32</v>
      </c>
      <c r="D67" t="s">
        <v>20</v>
      </c>
      <c r="E67" t="s">
        <v>117</v>
      </c>
      <c r="F67" t="s">
        <v>22</v>
      </c>
      <c r="G67">
        <v>1</v>
      </c>
      <c r="H67">
        <v>1823.03</v>
      </c>
      <c r="I67">
        <v>-2.79</v>
      </c>
      <c r="J67" t="s">
        <v>23</v>
      </c>
    </row>
    <row r="68" spans="1:10">
      <c r="A68" t="s">
        <v>167</v>
      </c>
      <c r="B68" t="s">
        <v>168</v>
      </c>
      <c r="C68" t="s">
        <v>12</v>
      </c>
      <c r="D68" t="s">
        <v>13</v>
      </c>
      <c r="E68" t="s">
        <v>56</v>
      </c>
      <c r="F68" t="s">
        <v>15</v>
      </c>
      <c r="G68">
        <v>1</v>
      </c>
      <c r="H68">
        <v>4750.01</v>
      </c>
      <c r="I68">
        <v>-99.96</v>
      </c>
      <c r="J68" t="s">
        <v>29</v>
      </c>
    </row>
    <row r="69" spans="1:10">
      <c r="A69" t="s">
        <v>169</v>
      </c>
      <c r="B69" t="s">
        <v>170</v>
      </c>
      <c r="C69" t="s">
        <v>19</v>
      </c>
      <c r="D69" t="s">
        <v>13</v>
      </c>
      <c r="E69" t="s">
        <v>37</v>
      </c>
      <c r="F69" t="s">
        <v>15</v>
      </c>
      <c r="G69">
        <v>4</v>
      </c>
      <c r="H69">
        <v>12188.89</v>
      </c>
      <c r="I69">
        <v>-104.84</v>
      </c>
      <c r="J69" t="s">
        <v>29</v>
      </c>
    </row>
    <row r="70" spans="1:10">
      <c r="A70" t="s">
        <v>171</v>
      </c>
      <c r="B70" t="s">
        <v>172</v>
      </c>
      <c r="C70" t="s">
        <v>32</v>
      </c>
      <c r="D70" t="s">
        <v>13</v>
      </c>
      <c r="E70" t="s">
        <v>56</v>
      </c>
      <c r="F70" t="s">
        <v>22</v>
      </c>
      <c r="G70">
        <v>1</v>
      </c>
      <c r="H70">
        <v>4766.6000000000004</v>
      </c>
      <c r="I70">
        <v>589.79999999999995</v>
      </c>
      <c r="J70" t="s">
        <v>29</v>
      </c>
    </row>
    <row r="71" spans="1:10">
      <c r="A71" t="s">
        <v>173</v>
      </c>
      <c r="B71" t="s">
        <v>174</v>
      </c>
      <c r="C71" t="s">
        <v>12</v>
      </c>
      <c r="D71" t="s">
        <v>20</v>
      </c>
      <c r="E71" t="s">
        <v>66</v>
      </c>
      <c r="F71" t="s">
        <v>22</v>
      </c>
      <c r="G71">
        <v>3</v>
      </c>
      <c r="H71">
        <v>32491.1</v>
      </c>
      <c r="I71">
        <v>2314.0500000000002</v>
      </c>
      <c r="J71" t="s">
        <v>29</v>
      </c>
    </row>
    <row r="72" spans="1:10">
      <c r="A72" t="s">
        <v>175</v>
      </c>
      <c r="B72" t="s">
        <v>176</v>
      </c>
      <c r="C72" t="s">
        <v>32</v>
      </c>
      <c r="D72" t="s">
        <v>13</v>
      </c>
      <c r="E72" t="s">
        <v>37</v>
      </c>
      <c r="F72" t="s">
        <v>22</v>
      </c>
      <c r="G72">
        <v>2</v>
      </c>
      <c r="H72">
        <v>5527.75</v>
      </c>
      <c r="I72">
        <v>1018.03</v>
      </c>
      <c r="J72" t="s">
        <v>16</v>
      </c>
    </row>
    <row r="73" spans="1:10">
      <c r="A73" t="s">
        <v>177</v>
      </c>
      <c r="B73" t="s">
        <v>178</v>
      </c>
      <c r="C73" t="s">
        <v>32</v>
      </c>
      <c r="D73" t="s">
        <v>27</v>
      </c>
      <c r="E73" t="s">
        <v>28</v>
      </c>
      <c r="F73" t="s">
        <v>22</v>
      </c>
      <c r="G73">
        <v>3</v>
      </c>
      <c r="H73">
        <v>5497.43</v>
      </c>
      <c r="I73">
        <v>46.06</v>
      </c>
      <c r="J73" t="s">
        <v>23</v>
      </c>
    </row>
    <row r="74" spans="1:10">
      <c r="A74" t="s">
        <v>179</v>
      </c>
      <c r="B74" t="s">
        <v>180</v>
      </c>
      <c r="C74" t="s">
        <v>32</v>
      </c>
      <c r="D74" t="s">
        <v>27</v>
      </c>
      <c r="E74" t="s">
        <v>28</v>
      </c>
      <c r="F74" t="s">
        <v>15</v>
      </c>
      <c r="G74">
        <v>5</v>
      </c>
      <c r="H74">
        <v>9819.56</v>
      </c>
      <c r="I74">
        <v>403.61</v>
      </c>
      <c r="J74" t="s">
        <v>16</v>
      </c>
    </row>
    <row r="75" spans="1:10">
      <c r="A75" t="s">
        <v>181</v>
      </c>
      <c r="B75" t="s">
        <v>182</v>
      </c>
      <c r="C75" t="s">
        <v>32</v>
      </c>
      <c r="D75" t="s">
        <v>20</v>
      </c>
      <c r="E75" t="s">
        <v>59</v>
      </c>
      <c r="F75" t="s">
        <v>15</v>
      </c>
      <c r="G75">
        <v>3</v>
      </c>
      <c r="H75">
        <v>81317.69</v>
      </c>
      <c r="I75">
        <v>19265.400000000001</v>
      </c>
      <c r="J75" t="s">
        <v>23</v>
      </c>
    </row>
    <row r="76" spans="1:10">
      <c r="A76" t="s">
        <v>183</v>
      </c>
      <c r="B76" t="s">
        <v>184</v>
      </c>
      <c r="C76" t="s">
        <v>26</v>
      </c>
      <c r="D76" t="s">
        <v>20</v>
      </c>
      <c r="E76" t="s">
        <v>33</v>
      </c>
      <c r="F76" t="s">
        <v>22</v>
      </c>
      <c r="G76">
        <v>4</v>
      </c>
      <c r="H76">
        <v>9977.16</v>
      </c>
      <c r="I76">
        <v>1924.99</v>
      </c>
      <c r="J76" t="s">
        <v>16</v>
      </c>
    </row>
    <row r="77" spans="1:10">
      <c r="A77" t="s">
        <v>185</v>
      </c>
      <c r="B77" t="s">
        <v>186</v>
      </c>
      <c r="C77" t="s">
        <v>32</v>
      </c>
      <c r="D77" t="s">
        <v>20</v>
      </c>
      <c r="E77" t="s">
        <v>21</v>
      </c>
      <c r="F77" t="s">
        <v>22</v>
      </c>
      <c r="G77">
        <v>3</v>
      </c>
      <c r="H77">
        <v>147313.81</v>
      </c>
      <c r="I77">
        <v>24902.42</v>
      </c>
      <c r="J77" t="s">
        <v>29</v>
      </c>
    </row>
    <row r="78" spans="1:10">
      <c r="A78" t="s">
        <v>187</v>
      </c>
      <c r="B78" t="s">
        <v>186</v>
      </c>
      <c r="C78" t="s">
        <v>32</v>
      </c>
      <c r="D78" t="s">
        <v>27</v>
      </c>
      <c r="E78" t="s">
        <v>28</v>
      </c>
      <c r="F78" t="s">
        <v>15</v>
      </c>
      <c r="G78">
        <v>3</v>
      </c>
      <c r="H78">
        <v>5531.06</v>
      </c>
      <c r="I78">
        <v>461</v>
      </c>
      <c r="J78" t="s">
        <v>34</v>
      </c>
    </row>
    <row r="79" spans="1:10">
      <c r="A79" t="s">
        <v>188</v>
      </c>
      <c r="B79" t="s">
        <v>184</v>
      </c>
      <c r="C79" t="s">
        <v>19</v>
      </c>
      <c r="D79" t="s">
        <v>13</v>
      </c>
      <c r="E79" t="s">
        <v>44</v>
      </c>
      <c r="F79" t="s">
        <v>15</v>
      </c>
      <c r="G79">
        <v>3</v>
      </c>
      <c r="H79">
        <v>2494.56</v>
      </c>
      <c r="I79">
        <v>281.66000000000003</v>
      </c>
      <c r="J79" t="s">
        <v>23</v>
      </c>
    </row>
    <row r="80" spans="1:10">
      <c r="A80" t="s">
        <v>189</v>
      </c>
      <c r="B80" t="s">
        <v>190</v>
      </c>
      <c r="C80" t="s">
        <v>32</v>
      </c>
      <c r="D80" t="s">
        <v>13</v>
      </c>
      <c r="E80" t="s">
        <v>37</v>
      </c>
      <c r="F80" t="s">
        <v>15</v>
      </c>
      <c r="G80">
        <v>3</v>
      </c>
      <c r="H80">
        <v>8777.2999999999993</v>
      </c>
      <c r="I80">
        <v>2383.73</v>
      </c>
      <c r="J80" t="s">
        <v>23</v>
      </c>
    </row>
    <row r="81" spans="1:10">
      <c r="A81" t="s">
        <v>191</v>
      </c>
      <c r="B81" t="s">
        <v>192</v>
      </c>
      <c r="C81" t="s">
        <v>19</v>
      </c>
      <c r="D81" t="s">
        <v>27</v>
      </c>
      <c r="E81" t="s">
        <v>51</v>
      </c>
      <c r="F81" t="s">
        <v>22</v>
      </c>
      <c r="G81">
        <v>3</v>
      </c>
      <c r="H81">
        <v>1965.37</v>
      </c>
      <c r="I81">
        <v>-147.22</v>
      </c>
      <c r="J81" t="s">
        <v>34</v>
      </c>
    </row>
    <row r="82" spans="1:10">
      <c r="A82" t="s">
        <v>193</v>
      </c>
      <c r="B82" t="s">
        <v>194</v>
      </c>
      <c r="C82" t="s">
        <v>12</v>
      </c>
      <c r="D82" t="s">
        <v>20</v>
      </c>
      <c r="E82" t="s">
        <v>66</v>
      </c>
      <c r="F82" t="s">
        <v>15</v>
      </c>
      <c r="G82">
        <v>3</v>
      </c>
      <c r="H82">
        <v>37421.410000000003</v>
      </c>
      <c r="I82">
        <v>-1292.51</v>
      </c>
      <c r="J82" t="s">
        <v>29</v>
      </c>
    </row>
    <row r="83" spans="1:10">
      <c r="A83" t="s">
        <v>195</v>
      </c>
      <c r="B83" t="s">
        <v>196</v>
      </c>
      <c r="C83" t="s">
        <v>26</v>
      </c>
      <c r="D83" t="s">
        <v>27</v>
      </c>
      <c r="E83" t="s">
        <v>41</v>
      </c>
      <c r="F83" t="s">
        <v>15</v>
      </c>
      <c r="G83">
        <v>4</v>
      </c>
      <c r="H83">
        <v>13553.98</v>
      </c>
      <c r="I83">
        <v>3626.76</v>
      </c>
      <c r="J83" t="s">
        <v>34</v>
      </c>
    </row>
    <row r="84" spans="1:10">
      <c r="A84" t="s">
        <v>197</v>
      </c>
      <c r="B84" t="s">
        <v>198</v>
      </c>
      <c r="C84" t="s">
        <v>65</v>
      </c>
      <c r="D84" t="s">
        <v>27</v>
      </c>
      <c r="E84" t="s">
        <v>41</v>
      </c>
      <c r="F84" t="s">
        <v>22</v>
      </c>
      <c r="G84">
        <v>1</v>
      </c>
      <c r="H84">
        <v>3553.91</v>
      </c>
      <c r="I84">
        <v>593.94000000000005</v>
      </c>
      <c r="J84" t="s">
        <v>34</v>
      </c>
    </row>
    <row r="85" spans="1:10">
      <c r="A85" t="s">
        <v>199</v>
      </c>
      <c r="B85" t="s">
        <v>200</v>
      </c>
      <c r="C85" t="s">
        <v>19</v>
      </c>
      <c r="D85" t="s">
        <v>20</v>
      </c>
      <c r="E85" t="s">
        <v>21</v>
      </c>
      <c r="F85" t="s">
        <v>22</v>
      </c>
      <c r="G85">
        <v>5</v>
      </c>
      <c r="H85">
        <v>273751.06</v>
      </c>
      <c r="I85">
        <v>37852.75</v>
      </c>
      <c r="J85" t="s">
        <v>16</v>
      </c>
    </row>
    <row r="86" spans="1:10">
      <c r="A86" t="s">
        <v>201</v>
      </c>
      <c r="B86" t="s">
        <v>202</v>
      </c>
      <c r="C86" t="s">
        <v>12</v>
      </c>
      <c r="D86" t="s">
        <v>27</v>
      </c>
      <c r="E86" t="s">
        <v>130</v>
      </c>
      <c r="F86" t="s">
        <v>15</v>
      </c>
      <c r="G86">
        <v>5</v>
      </c>
      <c r="H86">
        <v>8784.0499999999993</v>
      </c>
      <c r="I86">
        <v>262.97000000000003</v>
      </c>
      <c r="J86" t="s">
        <v>23</v>
      </c>
    </row>
    <row r="87" spans="1:10">
      <c r="A87" t="s">
        <v>203</v>
      </c>
      <c r="B87" t="s">
        <v>204</v>
      </c>
      <c r="C87" t="s">
        <v>12</v>
      </c>
      <c r="D87" t="s">
        <v>13</v>
      </c>
      <c r="E87" t="s">
        <v>44</v>
      </c>
      <c r="F87" t="s">
        <v>15</v>
      </c>
      <c r="G87">
        <v>3</v>
      </c>
      <c r="H87">
        <v>2786.63</v>
      </c>
      <c r="I87">
        <v>-65.37</v>
      </c>
      <c r="J87" t="s">
        <v>34</v>
      </c>
    </row>
    <row r="88" spans="1:10">
      <c r="A88" t="s">
        <v>205</v>
      </c>
      <c r="B88" t="s">
        <v>206</v>
      </c>
      <c r="C88" t="s">
        <v>32</v>
      </c>
      <c r="D88" t="s">
        <v>27</v>
      </c>
      <c r="E88" t="s">
        <v>41</v>
      </c>
      <c r="F88" t="s">
        <v>22</v>
      </c>
      <c r="G88">
        <v>5</v>
      </c>
      <c r="H88">
        <v>17394.689999999999</v>
      </c>
      <c r="I88">
        <v>-1187.18</v>
      </c>
      <c r="J88" t="s">
        <v>34</v>
      </c>
    </row>
    <row r="89" spans="1:10">
      <c r="A89" t="s">
        <v>207</v>
      </c>
      <c r="B89" t="s">
        <v>208</v>
      </c>
      <c r="C89" t="s">
        <v>19</v>
      </c>
      <c r="D89" t="s">
        <v>13</v>
      </c>
      <c r="E89" t="s">
        <v>44</v>
      </c>
      <c r="F89" t="s">
        <v>22</v>
      </c>
      <c r="G89">
        <v>3</v>
      </c>
      <c r="H89">
        <v>2855.43</v>
      </c>
      <c r="I89">
        <v>414.1</v>
      </c>
      <c r="J89" t="s">
        <v>34</v>
      </c>
    </row>
    <row r="90" spans="1:10">
      <c r="A90" t="s">
        <v>209</v>
      </c>
      <c r="B90" t="s">
        <v>210</v>
      </c>
      <c r="C90" t="s">
        <v>12</v>
      </c>
      <c r="D90" t="s">
        <v>13</v>
      </c>
      <c r="E90" t="s">
        <v>44</v>
      </c>
      <c r="F90" t="s">
        <v>15</v>
      </c>
      <c r="G90">
        <v>2</v>
      </c>
      <c r="H90">
        <v>1947.03</v>
      </c>
      <c r="I90">
        <v>423.65</v>
      </c>
      <c r="J90" t="s">
        <v>29</v>
      </c>
    </row>
    <row r="91" spans="1:10">
      <c r="A91" t="s">
        <v>211</v>
      </c>
      <c r="B91" t="s">
        <v>212</v>
      </c>
      <c r="C91" t="s">
        <v>26</v>
      </c>
      <c r="D91" t="s">
        <v>13</v>
      </c>
      <c r="E91" t="s">
        <v>56</v>
      </c>
      <c r="F91" t="s">
        <v>22</v>
      </c>
      <c r="G91">
        <v>3</v>
      </c>
      <c r="H91">
        <v>13335.71</v>
      </c>
      <c r="I91">
        <v>1183.29</v>
      </c>
      <c r="J91" t="s">
        <v>16</v>
      </c>
    </row>
    <row r="92" spans="1:10">
      <c r="A92" t="s">
        <v>213</v>
      </c>
      <c r="B92" t="s">
        <v>214</v>
      </c>
      <c r="C92" t="s">
        <v>32</v>
      </c>
      <c r="D92" t="s">
        <v>27</v>
      </c>
      <c r="E92" t="s">
        <v>106</v>
      </c>
      <c r="G92">
        <v>5</v>
      </c>
      <c r="H92">
        <v>9987.69</v>
      </c>
      <c r="I92">
        <v>754.37</v>
      </c>
      <c r="J92" t="s">
        <v>34</v>
      </c>
    </row>
    <row r="93" spans="1:10">
      <c r="A93" t="s">
        <v>215</v>
      </c>
      <c r="B93" t="s">
        <v>216</v>
      </c>
      <c r="C93" t="s">
        <v>32</v>
      </c>
      <c r="D93" t="s">
        <v>20</v>
      </c>
      <c r="E93" t="s">
        <v>66</v>
      </c>
      <c r="F93" t="s">
        <v>15</v>
      </c>
      <c r="G93">
        <v>5</v>
      </c>
      <c r="H93">
        <v>65409.440000000002</v>
      </c>
      <c r="I93">
        <v>18304.57</v>
      </c>
      <c r="J93" t="s">
        <v>23</v>
      </c>
    </row>
    <row r="94" spans="1:10">
      <c r="A94" t="s">
        <v>217</v>
      </c>
      <c r="B94" t="s">
        <v>87</v>
      </c>
      <c r="C94" t="s">
        <v>26</v>
      </c>
      <c r="D94" t="s">
        <v>27</v>
      </c>
      <c r="E94" t="s">
        <v>28</v>
      </c>
      <c r="F94" t="s">
        <v>22</v>
      </c>
      <c r="G94">
        <v>4</v>
      </c>
      <c r="H94">
        <v>8232.43</v>
      </c>
      <c r="I94">
        <v>-120.72</v>
      </c>
      <c r="J94" t="s">
        <v>34</v>
      </c>
    </row>
    <row r="95" spans="1:10">
      <c r="A95" t="s">
        <v>218</v>
      </c>
      <c r="B95" t="s">
        <v>219</v>
      </c>
      <c r="C95" t="s">
        <v>32</v>
      </c>
      <c r="D95" t="s">
        <v>27</v>
      </c>
      <c r="E95" t="s">
        <v>130</v>
      </c>
      <c r="F95" t="s">
        <v>22</v>
      </c>
      <c r="G95">
        <v>4</v>
      </c>
      <c r="H95">
        <v>6186.63</v>
      </c>
      <c r="I95">
        <v>997.58</v>
      </c>
      <c r="J95" t="s">
        <v>16</v>
      </c>
    </row>
    <row r="96" spans="1:10">
      <c r="A96" t="s">
        <v>220</v>
      </c>
      <c r="B96" t="s">
        <v>196</v>
      </c>
      <c r="C96" t="s">
        <v>32</v>
      </c>
      <c r="D96" t="s">
        <v>27</v>
      </c>
      <c r="E96" t="s">
        <v>41</v>
      </c>
      <c r="F96" t="s">
        <v>15</v>
      </c>
      <c r="G96">
        <v>5</v>
      </c>
      <c r="H96">
        <v>15878.44</v>
      </c>
      <c r="I96">
        <v>-766.9</v>
      </c>
      <c r="J96" t="s">
        <v>16</v>
      </c>
    </row>
    <row r="97" spans="1:10">
      <c r="A97" t="s">
        <v>221</v>
      </c>
      <c r="B97" t="s">
        <v>222</v>
      </c>
      <c r="C97" t="s">
        <v>32</v>
      </c>
      <c r="D97" t="s">
        <v>13</v>
      </c>
      <c r="E97" t="s">
        <v>14</v>
      </c>
      <c r="F97" t="s">
        <v>22</v>
      </c>
      <c r="G97">
        <v>5</v>
      </c>
      <c r="H97">
        <v>15878.32</v>
      </c>
      <c r="I97">
        <v>-960.42</v>
      </c>
      <c r="J97" t="s">
        <v>16</v>
      </c>
    </row>
    <row r="98" spans="1:10">
      <c r="A98" t="s">
        <v>223</v>
      </c>
      <c r="B98" t="s">
        <v>224</v>
      </c>
      <c r="C98" t="s">
        <v>26</v>
      </c>
      <c r="D98" t="s">
        <v>20</v>
      </c>
      <c r="E98" t="s">
        <v>33</v>
      </c>
      <c r="F98" t="s">
        <v>15</v>
      </c>
      <c r="G98">
        <v>3</v>
      </c>
      <c r="H98">
        <v>7573.83</v>
      </c>
      <c r="I98">
        <v>1923.47</v>
      </c>
      <c r="J98" t="s">
        <v>34</v>
      </c>
    </row>
    <row r="99" spans="1:10">
      <c r="A99" t="s">
        <v>225</v>
      </c>
      <c r="B99" t="s">
        <v>226</v>
      </c>
      <c r="C99" t="s">
        <v>26</v>
      </c>
      <c r="D99" t="s">
        <v>13</v>
      </c>
      <c r="E99" t="s">
        <v>56</v>
      </c>
      <c r="F99" t="s">
        <v>15</v>
      </c>
      <c r="G99">
        <v>2</v>
      </c>
      <c r="H99">
        <v>9377.61</v>
      </c>
      <c r="I99">
        <v>298.86</v>
      </c>
      <c r="J99" t="s">
        <v>23</v>
      </c>
    </row>
    <row r="100" spans="1:10">
      <c r="A100" t="s">
        <v>227</v>
      </c>
      <c r="B100" t="s">
        <v>228</v>
      </c>
      <c r="C100" t="s">
        <v>32</v>
      </c>
      <c r="D100" t="s">
        <v>20</v>
      </c>
      <c r="E100" t="s">
        <v>117</v>
      </c>
      <c r="F100" t="s">
        <v>22</v>
      </c>
      <c r="G100">
        <v>1</v>
      </c>
      <c r="H100">
        <v>1853.18</v>
      </c>
      <c r="I100">
        <v>-45.53</v>
      </c>
      <c r="J100" t="s">
        <v>16</v>
      </c>
    </row>
    <row r="101" spans="1:10">
      <c r="A101" t="s">
        <v>229</v>
      </c>
      <c r="B101" t="s">
        <v>230</v>
      </c>
      <c r="C101" t="s">
        <v>19</v>
      </c>
      <c r="D101" t="s">
        <v>27</v>
      </c>
      <c r="E101" t="s">
        <v>51</v>
      </c>
      <c r="F101" t="s">
        <v>15</v>
      </c>
      <c r="G101">
        <v>4</v>
      </c>
      <c r="H101">
        <v>2828.71</v>
      </c>
      <c r="I101">
        <v>164.32</v>
      </c>
      <c r="J101" t="s">
        <v>29</v>
      </c>
    </row>
    <row r="102" spans="1:10">
      <c r="A102" t="s">
        <v>231</v>
      </c>
      <c r="B102" t="s">
        <v>232</v>
      </c>
      <c r="C102" t="s">
        <v>26</v>
      </c>
      <c r="D102" t="s">
        <v>27</v>
      </c>
      <c r="E102" t="s">
        <v>130</v>
      </c>
      <c r="F102" t="s">
        <v>15</v>
      </c>
      <c r="G102">
        <v>5</v>
      </c>
      <c r="H102">
        <v>7627.48</v>
      </c>
      <c r="I102">
        <v>-603.15</v>
      </c>
      <c r="J102" t="s">
        <v>16</v>
      </c>
    </row>
    <row r="103" spans="1:10">
      <c r="A103" t="s">
        <v>233</v>
      </c>
      <c r="B103" t="s">
        <v>234</v>
      </c>
      <c r="C103" t="s">
        <v>26</v>
      </c>
      <c r="D103" t="s">
        <v>13</v>
      </c>
      <c r="E103" t="s">
        <v>37</v>
      </c>
      <c r="F103" t="s">
        <v>22</v>
      </c>
      <c r="G103">
        <v>3</v>
      </c>
      <c r="H103">
        <v>8118.5</v>
      </c>
      <c r="I103">
        <v>1580.14</v>
      </c>
      <c r="J103" t="s">
        <v>23</v>
      </c>
    </row>
    <row r="104" spans="1:10">
      <c r="A104" t="s">
        <v>235</v>
      </c>
      <c r="B104" t="s">
        <v>116</v>
      </c>
      <c r="C104" t="s">
        <v>12</v>
      </c>
      <c r="D104" t="s">
        <v>13</v>
      </c>
      <c r="E104" t="s">
        <v>44</v>
      </c>
      <c r="F104" t="s">
        <v>22</v>
      </c>
      <c r="G104">
        <v>5</v>
      </c>
      <c r="H104">
        <v>4394.67</v>
      </c>
      <c r="I104">
        <v>1002.71</v>
      </c>
      <c r="J104" t="s">
        <v>16</v>
      </c>
    </row>
    <row r="105" spans="1:10">
      <c r="A105" t="s">
        <v>236</v>
      </c>
      <c r="B105" t="s">
        <v>176</v>
      </c>
      <c r="C105" t="s">
        <v>19</v>
      </c>
      <c r="D105" t="s">
        <v>13</v>
      </c>
      <c r="E105" t="s">
        <v>37</v>
      </c>
      <c r="F105" t="s">
        <v>22</v>
      </c>
      <c r="G105">
        <v>4</v>
      </c>
      <c r="H105">
        <v>12294.05</v>
      </c>
      <c r="I105">
        <v>2523.5</v>
      </c>
      <c r="J105" t="s">
        <v>34</v>
      </c>
    </row>
    <row r="106" spans="1:10">
      <c r="A106" t="s">
        <v>237</v>
      </c>
      <c r="B106" t="s">
        <v>238</v>
      </c>
      <c r="C106" t="s">
        <v>12</v>
      </c>
      <c r="D106" t="s">
        <v>20</v>
      </c>
      <c r="E106" t="s">
        <v>66</v>
      </c>
      <c r="F106" t="s">
        <v>22</v>
      </c>
      <c r="G106">
        <v>5</v>
      </c>
      <c r="H106">
        <v>57983.94</v>
      </c>
      <c r="I106">
        <v>-2543.6799999999998</v>
      </c>
      <c r="J106" t="s">
        <v>34</v>
      </c>
    </row>
    <row r="107" spans="1:10">
      <c r="A107" t="s">
        <v>239</v>
      </c>
      <c r="B107" t="s">
        <v>240</v>
      </c>
      <c r="C107" t="s">
        <v>26</v>
      </c>
      <c r="D107" t="s">
        <v>13</v>
      </c>
      <c r="E107" t="s">
        <v>44</v>
      </c>
      <c r="F107" t="s">
        <v>22</v>
      </c>
      <c r="G107">
        <v>4</v>
      </c>
      <c r="H107">
        <v>3867.07</v>
      </c>
      <c r="I107">
        <v>1040.96</v>
      </c>
      <c r="J107" t="s">
        <v>29</v>
      </c>
    </row>
    <row r="108" spans="1:10">
      <c r="A108" t="s">
        <v>241</v>
      </c>
      <c r="B108" t="s">
        <v>192</v>
      </c>
      <c r="C108" t="s">
        <v>26</v>
      </c>
      <c r="D108" t="s">
        <v>13</v>
      </c>
      <c r="E108" t="s">
        <v>37</v>
      </c>
      <c r="F108" t="s">
        <v>22</v>
      </c>
      <c r="G108">
        <v>1</v>
      </c>
      <c r="H108">
        <v>2996.99</v>
      </c>
      <c r="I108">
        <v>679.85</v>
      </c>
      <c r="J108" t="s">
        <v>16</v>
      </c>
    </row>
    <row r="109" spans="1:10">
      <c r="A109" t="s">
        <v>242</v>
      </c>
      <c r="B109" t="s">
        <v>206</v>
      </c>
      <c r="C109" t="s">
        <v>19</v>
      </c>
      <c r="D109" t="s">
        <v>13</v>
      </c>
      <c r="E109" t="s">
        <v>14</v>
      </c>
      <c r="F109" t="s">
        <v>15</v>
      </c>
      <c r="G109">
        <v>5</v>
      </c>
      <c r="H109">
        <v>14618.95</v>
      </c>
      <c r="I109">
        <v>2152.17</v>
      </c>
      <c r="J109" t="s">
        <v>16</v>
      </c>
    </row>
    <row r="110" spans="1:10">
      <c r="A110" t="s">
        <v>243</v>
      </c>
      <c r="B110" t="s">
        <v>244</v>
      </c>
      <c r="C110" t="s">
        <v>12</v>
      </c>
      <c r="D110" t="s">
        <v>20</v>
      </c>
      <c r="E110" t="s">
        <v>21</v>
      </c>
      <c r="F110" t="s">
        <v>22</v>
      </c>
      <c r="G110">
        <v>4</v>
      </c>
      <c r="H110">
        <v>194120.78</v>
      </c>
      <c r="I110">
        <v>5398.07</v>
      </c>
      <c r="J110" t="s">
        <v>34</v>
      </c>
    </row>
    <row r="111" spans="1:10">
      <c r="A111" t="s">
        <v>245</v>
      </c>
      <c r="B111" t="s">
        <v>116</v>
      </c>
      <c r="C111" t="s">
        <v>19</v>
      </c>
      <c r="D111" t="s">
        <v>27</v>
      </c>
      <c r="E111" t="s">
        <v>130</v>
      </c>
      <c r="F111" t="s">
        <v>15</v>
      </c>
      <c r="G111">
        <v>3</v>
      </c>
      <c r="H111">
        <v>4733.46</v>
      </c>
      <c r="I111">
        <v>37.450000000000003</v>
      </c>
      <c r="J111" t="s">
        <v>23</v>
      </c>
    </row>
    <row r="112" spans="1:10">
      <c r="A112" t="s">
        <v>246</v>
      </c>
      <c r="B112" t="s">
        <v>91</v>
      </c>
      <c r="C112" t="s">
        <v>19</v>
      </c>
      <c r="D112" t="s">
        <v>20</v>
      </c>
      <c r="E112" t="s">
        <v>66</v>
      </c>
      <c r="F112" t="s">
        <v>15</v>
      </c>
      <c r="G112">
        <v>4</v>
      </c>
      <c r="H112">
        <v>49149.22</v>
      </c>
      <c r="I112">
        <v>329.24</v>
      </c>
      <c r="J112" t="s">
        <v>16</v>
      </c>
    </row>
    <row r="113" spans="1:10">
      <c r="A113" t="s">
        <v>247</v>
      </c>
      <c r="B113" t="s">
        <v>248</v>
      </c>
      <c r="C113" t="s">
        <v>32</v>
      </c>
      <c r="D113" t="s">
        <v>13</v>
      </c>
      <c r="E113" t="s">
        <v>94</v>
      </c>
      <c r="F113" t="s">
        <v>15</v>
      </c>
      <c r="G113">
        <v>4</v>
      </c>
      <c r="H113">
        <v>5325.97</v>
      </c>
      <c r="I113">
        <v>-408.06</v>
      </c>
      <c r="J113" t="s">
        <v>34</v>
      </c>
    </row>
    <row r="114" spans="1:10">
      <c r="A114" t="s">
        <v>249</v>
      </c>
      <c r="B114" t="s">
        <v>184</v>
      </c>
      <c r="C114" t="s">
        <v>32</v>
      </c>
      <c r="D114" t="s">
        <v>27</v>
      </c>
      <c r="E114" t="s">
        <v>130</v>
      </c>
      <c r="F114" t="s">
        <v>22</v>
      </c>
      <c r="G114">
        <v>5</v>
      </c>
      <c r="H114">
        <v>7678.65</v>
      </c>
      <c r="I114">
        <v>2045.06</v>
      </c>
      <c r="J114" t="s">
        <v>29</v>
      </c>
    </row>
    <row r="115" spans="1:10">
      <c r="A115" t="s">
        <v>250</v>
      </c>
      <c r="B115" t="s">
        <v>31</v>
      </c>
      <c r="C115" t="s">
        <v>32</v>
      </c>
      <c r="D115" t="s">
        <v>20</v>
      </c>
      <c r="E115" t="s">
        <v>117</v>
      </c>
      <c r="F115" t="s">
        <v>22</v>
      </c>
      <c r="G115">
        <v>4</v>
      </c>
      <c r="H115">
        <v>6633.58</v>
      </c>
      <c r="I115">
        <v>380.05</v>
      </c>
      <c r="J115" t="s">
        <v>34</v>
      </c>
    </row>
    <row r="116" spans="1:10">
      <c r="A116" t="s">
        <v>251</v>
      </c>
      <c r="B116" t="s">
        <v>252</v>
      </c>
      <c r="C116" t="s">
        <v>26</v>
      </c>
      <c r="D116" t="s">
        <v>13</v>
      </c>
      <c r="E116" t="s">
        <v>37</v>
      </c>
      <c r="F116" t="s">
        <v>22</v>
      </c>
      <c r="G116">
        <v>3</v>
      </c>
      <c r="H116">
        <v>7573.6</v>
      </c>
      <c r="I116">
        <v>1752.71</v>
      </c>
      <c r="J116" t="s">
        <v>23</v>
      </c>
    </row>
    <row r="117" spans="1:10">
      <c r="A117" t="s">
        <v>253</v>
      </c>
      <c r="B117" t="s">
        <v>156</v>
      </c>
      <c r="C117" t="s">
        <v>19</v>
      </c>
      <c r="D117" t="s">
        <v>13</v>
      </c>
      <c r="E117" t="s">
        <v>94</v>
      </c>
      <c r="F117" t="s">
        <v>15</v>
      </c>
      <c r="G117">
        <v>2</v>
      </c>
      <c r="H117">
        <v>2876.51</v>
      </c>
      <c r="I117">
        <v>412.84</v>
      </c>
      <c r="J117" t="s">
        <v>34</v>
      </c>
    </row>
    <row r="118" spans="1:10">
      <c r="A118" t="s">
        <v>254</v>
      </c>
      <c r="B118" t="s">
        <v>255</v>
      </c>
      <c r="C118" t="s">
        <v>32</v>
      </c>
      <c r="D118" t="s">
        <v>27</v>
      </c>
      <c r="E118" t="s">
        <v>41</v>
      </c>
      <c r="F118" t="s">
        <v>22</v>
      </c>
      <c r="G118">
        <v>1</v>
      </c>
      <c r="H118">
        <v>3555.7</v>
      </c>
      <c r="I118">
        <v>653</v>
      </c>
      <c r="J118" t="s">
        <v>16</v>
      </c>
    </row>
    <row r="119" spans="1:10">
      <c r="A119" t="s">
        <v>256</v>
      </c>
      <c r="B119" t="s">
        <v>257</v>
      </c>
      <c r="C119" t="s">
        <v>32</v>
      </c>
      <c r="D119" t="s">
        <v>20</v>
      </c>
      <c r="E119" t="s">
        <v>33</v>
      </c>
      <c r="F119" t="s">
        <v>15</v>
      </c>
      <c r="G119">
        <v>2</v>
      </c>
      <c r="H119">
        <v>5286.51</v>
      </c>
      <c r="I119">
        <v>1245.1099999999999</v>
      </c>
      <c r="J119" t="s">
        <v>29</v>
      </c>
    </row>
    <row r="120" spans="1:10">
      <c r="A120" t="s">
        <v>258</v>
      </c>
      <c r="B120" t="s">
        <v>240</v>
      </c>
      <c r="C120" t="s">
        <v>19</v>
      </c>
      <c r="D120" t="s">
        <v>259</v>
      </c>
      <c r="E120" t="s">
        <v>130</v>
      </c>
      <c r="F120" t="s">
        <v>15</v>
      </c>
      <c r="G120">
        <v>3</v>
      </c>
      <c r="H120">
        <v>5092.0600000000004</v>
      </c>
      <c r="I120">
        <v>451.15</v>
      </c>
      <c r="J120" t="s">
        <v>16</v>
      </c>
    </row>
    <row r="121" spans="1:10">
      <c r="A121" t="s">
        <v>260</v>
      </c>
      <c r="B121" t="s">
        <v>261</v>
      </c>
      <c r="C121" t="s">
        <v>12</v>
      </c>
      <c r="D121" t="s">
        <v>13</v>
      </c>
      <c r="E121" t="s">
        <v>94</v>
      </c>
      <c r="F121" t="s">
        <v>22</v>
      </c>
      <c r="G121">
        <v>1</v>
      </c>
      <c r="H121">
        <v>1481.39</v>
      </c>
      <c r="I121">
        <v>-111.09</v>
      </c>
      <c r="J121" t="s">
        <v>29</v>
      </c>
    </row>
    <row r="122" spans="1:10">
      <c r="A122" t="s">
        <v>262</v>
      </c>
      <c r="B122" t="s">
        <v>263</v>
      </c>
      <c r="C122" t="s">
        <v>12</v>
      </c>
      <c r="D122" t="s">
        <v>13</v>
      </c>
      <c r="E122" t="s">
        <v>94</v>
      </c>
      <c r="F122" t="s">
        <v>15</v>
      </c>
      <c r="G122">
        <v>5</v>
      </c>
      <c r="H122">
        <v>6833.44</v>
      </c>
      <c r="I122">
        <v>1024.18</v>
      </c>
      <c r="J122" t="s">
        <v>16</v>
      </c>
    </row>
    <row r="123" spans="1:10">
      <c r="A123" t="s">
        <v>264</v>
      </c>
      <c r="B123" t="s">
        <v>265</v>
      </c>
      <c r="C123" t="s">
        <v>12</v>
      </c>
      <c r="D123" t="s">
        <v>20</v>
      </c>
      <c r="E123" t="s">
        <v>66</v>
      </c>
      <c r="F123" t="s">
        <v>22</v>
      </c>
      <c r="G123">
        <v>5</v>
      </c>
      <c r="H123">
        <v>57936.08</v>
      </c>
      <c r="I123">
        <v>8089.59</v>
      </c>
      <c r="J123" t="s">
        <v>29</v>
      </c>
    </row>
    <row r="124" spans="1:10">
      <c r="A124" t="s">
        <v>266</v>
      </c>
      <c r="B124" t="s">
        <v>212</v>
      </c>
      <c r="C124" t="s">
        <v>26</v>
      </c>
      <c r="D124" t="s">
        <v>13</v>
      </c>
      <c r="E124" t="s">
        <v>37</v>
      </c>
      <c r="F124" t="s">
        <v>15</v>
      </c>
      <c r="G124">
        <v>1</v>
      </c>
      <c r="H124">
        <v>2598.2800000000002</v>
      </c>
      <c r="I124">
        <v>677.25</v>
      </c>
      <c r="J124" t="s">
        <v>34</v>
      </c>
    </row>
    <row r="125" spans="1:10">
      <c r="A125" t="s">
        <v>267</v>
      </c>
      <c r="B125" t="s">
        <v>268</v>
      </c>
      <c r="C125" t="s">
        <v>26</v>
      </c>
      <c r="D125" t="s">
        <v>20</v>
      </c>
      <c r="E125" t="s">
        <v>66</v>
      </c>
      <c r="F125" t="s">
        <v>15</v>
      </c>
      <c r="G125">
        <v>2</v>
      </c>
      <c r="H125">
        <v>23465.5</v>
      </c>
      <c r="I125">
        <v>1256.9100000000001</v>
      </c>
      <c r="J125" t="s">
        <v>16</v>
      </c>
    </row>
    <row r="126" spans="1:10">
      <c r="A126" t="s">
        <v>269</v>
      </c>
      <c r="B126" t="s">
        <v>270</v>
      </c>
      <c r="C126" t="s">
        <v>12</v>
      </c>
      <c r="D126" t="s">
        <v>13</v>
      </c>
      <c r="E126" t="s">
        <v>14</v>
      </c>
      <c r="F126" t="s">
        <v>22</v>
      </c>
      <c r="G126">
        <v>4</v>
      </c>
      <c r="H126">
        <v>13096.07</v>
      </c>
      <c r="I126">
        <v>3379.56</v>
      </c>
      <c r="J126" t="s">
        <v>23</v>
      </c>
    </row>
    <row r="127" spans="1:10">
      <c r="A127" t="s">
        <v>271</v>
      </c>
      <c r="B127" t="s">
        <v>272</v>
      </c>
      <c r="C127" t="s">
        <v>32</v>
      </c>
      <c r="D127" t="s">
        <v>27</v>
      </c>
      <c r="E127" t="s">
        <v>41</v>
      </c>
      <c r="F127" t="s">
        <v>22</v>
      </c>
      <c r="G127">
        <v>2</v>
      </c>
      <c r="H127">
        <v>7497.63</v>
      </c>
      <c r="I127">
        <v>-331.64</v>
      </c>
      <c r="J127" t="s">
        <v>34</v>
      </c>
    </row>
    <row r="128" spans="1:10">
      <c r="A128" t="s">
        <v>273</v>
      </c>
      <c r="B128" t="s">
        <v>274</v>
      </c>
      <c r="C128" t="s">
        <v>12</v>
      </c>
      <c r="D128" t="s">
        <v>27</v>
      </c>
      <c r="E128" t="s">
        <v>130</v>
      </c>
      <c r="F128" t="s">
        <v>15</v>
      </c>
      <c r="G128">
        <v>2</v>
      </c>
      <c r="H128">
        <v>3499.65</v>
      </c>
      <c r="I128">
        <v>915.66</v>
      </c>
      <c r="J128" t="s">
        <v>34</v>
      </c>
    </row>
    <row r="129" spans="1:10">
      <c r="A129" t="s">
        <v>275</v>
      </c>
      <c r="B129" t="s">
        <v>276</v>
      </c>
      <c r="C129" t="s">
        <v>12</v>
      </c>
      <c r="D129" t="s">
        <v>20</v>
      </c>
      <c r="E129" t="s">
        <v>59</v>
      </c>
      <c r="F129" t="s">
        <v>15</v>
      </c>
      <c r="G129">
        <v>2</v>
      </c>
      <c r="H129">
        <v>61474.79</v>
      </c>
      <c r="I129">
        <v>12498.57</v>
      </c>
      <c r="J129" t="s">
        <v>23</v>
      </c>
    </row>
    <row r="130" spans="1:10">
      <c r="A130" t="s">
        <v>277</v>
      </c>
      <c r="B130" t="s">
        <v>278</v>
      </c>
      <c r="C130" t="s">
        <v>19</v>
      </c>
      <c r="D130" t="s">
        <v>20</v>
      </c>
      <c r="E130" t="s">
        <v>59</v>
      </c>
      <c r="F130" t="s">
        <v>15</v>
      </c>
      <c r="G130">
        <v>2</v>
      </c>
      <c r="H130">
        <v>59232.81</v>
      </c>
      <c r="I130">
        <v>7969.98</v>
      </c>
      <c r="J130" t="s">
        <v>29</v>
      </c>
    </row>
    <row r="131" spans="1:10">
      <c r="A131" t="s">
        <v>279</v>
      </c>
      <c r="B131" t="s">
        <v>81</v>
      </c>
      <c r="C131" t="s">
        <v>32</v>
      </c>
      <c r="D131" t="s">
        <v>20</v>
      </c>
      <c r="E131" t="s">
        <v>21</v>
      </c>
      <c r="F131" t="s">
        <v>15</v>
      </c>
      <c r="G131">
        <v>1</v>
      </c>
      <c r="H131">
        <v>48170.75</v>
      </c>
      <c r="I131">
        <v>2358.79</v>
      </c>
      <c r="J131" t="s">
        <v>23</v>
      </c>
    </row>
    <row r="132" spans="1:10">
      <c r="A132" t="s">
        <v>280</v>
      </c>
      <c r="B132" t="s">
        <v>150</v>
      </c>
      <c r="C132" t="s">
        <v>26</v>
      </c>
      <c r="D132" t="s">
        <v>27</v>
      </c>
      <c r="E132" t="s">
        <v>106</v>
      </c>
      <c r="F132" t="s">
        <v>22</v>
      </c>
      <c r="G132">
        <v>2</v>
      </c>
      <c r="H132">
        <v>4612.71</v>
      </c>
      <c r="I132">
        <v>504.59</v>
      </c>
      <c r="J132" t="s">
        <v>29</v>
      </c>
    </row>
    <row r="133" spans="1:10">
      <c r="A133" t="s">
        <v>281</v>
      </c>
      <c r="B133" t="s">
        <v>282</v>
      </c>
      <c r="C133" t="s">
        <v>12</v>
      </c>
      <c r="D133" t="s">
        <v>13</v>
      </c>
      <c r="E133" t="s">
        <v>56</v>
      </c>
      <c r="F133" t="s">
        <v>22</v>
      </c>
      <c r="G133">
        <v>1</v>
      </c>
      <c r="H133">
        <v>4456.8</v>
      </c>
      <c r="I133">
        <v>-1.08</v>
      </c>
      <c r="J133" t="s">
        <v>16</v>
      </c>
    </row>
    <row r="134" spans="1:10">
      <c r="A134" t="s">
        <v>283</v>
      </c>
      <c r="B134" t="s">
        <v>108</v>
      </c>
      <c r="C134" t="s">
        <v>12</v>
      </c>
      <c r="D134" t="s">
        <v>13</v>
      </c>
      <c r="E134" t="s">
        <v>14</v>
      </c>
      <c r="F134" t="s">
        <v>22</v>
      </c>
      <c r="G134">
        <v>1</v>
      </c>
      <c r="H134">
        <v>3519.1</v>
      </c>
      <c r="I134">
        <v>791.89</v>
      </c>
      <c r="J134" t="s">
        <v>16</v>
      </c>
    </row>
    <row r="135" spans="1:10">
      <c r="A135" t="s">
        <v>284</v>
      </c>
      <c r="B135" t="s">
        <v>285</v>
      </c>
      <c r="C135" t="s">
        <v>32</v>
      </c>
      <c r="D135" t="s">
        <v>20</v>
      </c>
      <c r="E135" t="s">
        <v>21</v>
      </c>
      <c r="F135" t="s">
        <v>22</v>
      </c>
      <c r="G135">
        <v>3</v>
      </c>
      <c r="H135">
        <v>159378.88</v>
      </c>
      <c r="I135">
        <v>-8981.7000000000007</v>
      </c>
      <c r="J135" t="s">
        <v>29</v>
      </c>
    </row>
    <row r="136" spans="1:10">
      <c r="A136" t="s">
        <v>286</v>
      </c>
      <c r="B136" t="s">
        <v>287</v>
      </c>
      <c r="C136" t="s">
        <v>19</v>
      </c>
      <c r="D136" t="s">
        <v>27</v>
      </c>
      <c r="E136" t="s">
        <v>28</v>
      </c>
      <c r="F136" t="s">
        <v>22</v>
      </c>
      <c r="G136">
        <v>5</v>
      </c>
      <c r="H136">
        <v>9367.3799999999992</v>
      </c>
      <c r="I136">
        <v>1925.13</v>
      </c>
      <c r="J136" t="s">
        <v>16</v>
      </c>
    </row>
    <row r="137" spans="1:10">
      <c r="A137" t="s">
        <v>288</v>
      </c>
      <c r="B137" t="s">
        <v>289</v>
      </c>
      <c r="C137" t="s">
        <v>32</v>
      </c>
      <c r="D137" t="s">
        <v>20</v>
      </c>
      <c r="E137" t="s">
        <v>117</v>
      </c>
      <c r="F137" t="s">
        <v>22</v>
      </c>
      <c r="G137">
        <v>3</v>
      </c>
      <c r="H137">
        <v>5753.61</v>
      </c>
      <c r="I137">
        <v>365.6</v>
      </c>
      <c r="J137" t="s">
        <v>29</v>
      </c>
    </row>
    <row r="138" spans="1:10">
      <c r="A138" t="s">
        <v>290</v>
      </c>
      <c r="B138" t="s">
        <v>291</v>
      </c>
      <c r="C138" t="s">
        <v>12</v>
      </c>
      <c r="D138" t="s">
        <v>13</v>
      </c>
      <c r="E138" t="s">
        <v>94</v>
      </c>
      <c r="F138" t="s">
        <v>15</v>
      </c>
      <c r="G138">
        <v>3</v>
      </c>
      <c r="I138">
        <v>766.2</v>
      </c>
      <c r="J138" t="s">
        <v>34</v>
      </c>
    </row>
    <row r="139" spans="1:10">
      <c r="A139" t="s">
        <v>292</v>
      </c>
      <c r="B139" t="s">
        <v>293</v>
      </c>
      <c r="C139" t="s">
        <v>12</v>
      </c>
      <c r="D139" t="s">
        <v>20</v>
      </c>
      <c r="E139" t="s">
        <v>117</v>
      </c>
      <c r="F139" t="s">
        <v>22</v>
      </c>
      <c r="G139">
        <v>1</v>
      </c>
      <c r="H139">
        <v>1888.05</v>
      </c>
      <c r="I139">
        <v>102.24</v>
      </c>
      <c r="J139" t="s">
        <v>34</v>
      </c>
    </row>
    <row r="140" spans="1:10">
      <c r="A140" t="s">
        <v>294</v>
      </c>
      <c r="B140" t="s">
        <v>206</v>
      </c>
      <c r="C140" t="s">
        <v>32</v>
      </c>
      <c r="D140" t="s">
        <v>27</v>
      </c>
      <c r="E140" t="s">
        <v>130</v>
      </c>
      <c r="F140" t="s">
        <v>22</v>
      </c>
      <c r="G140">
        <v>4</v>
      </c>
      <c r="H140">
        <v>6871.16</v>
      </c>
      <c r="I140">
        <v>1233.94</v>
      </c>
      <c r="J140" t="s">
        <v>34</v>
      </c>
    </row>
    <row r="141" spans="1:10">
      <c r="A141" t="s">
        <v>295</v>
      </c>
      <c r="B141" t="s">
        <v>77</v>
      </c>
      <c r="C141" t="s">
        <v>32</v>
      </c>
      <c r="D141" t="s">
        <v>13</v>
      </c>
      <c r="E141" t="s">
        <v>56</v>
      </c>
      <c r="F141" t="s">
        <v>22</v>
      </c>
      <c r="G141">
        <v>2</v>
      </c>
      <c r="H141">
        <v>8378.51</v>
      </c>
      <c r="I141">
        <v>784.13</v>
      </c>
      <c r="J141" t="s">
        <v>34</v>
      </c>
    </row>
    <row r="142" spans="1:10">
      <c r="A142" t="s">
        <v>296</v>
      </c>
      <c r="B142" t="s">
        <v>297</v>
      </c>
      <c r="C142" t="s">
        <v>12</v>
      </c>
      <c r="D142" t="s">
        <v>27</v>
      </c>
      <c r="E142" t="s">
        <v>28</v>
      </c>
      <c r="F142" t="s">
        <v>22</v>
      </c>
      <c r="G142">
        <v>2</v>
      </c>
      <c r="H142">
        <v>4033.49</v>
      </c>
      <c r="I142">
        <v>904.53</v>
      </c>
      <c r="J142" t="s">
        <v>34</v>
      </c>
    </row>
    <row r="143" spans="1:10">
      <c r="A143" t="s">
        <v>298</v>
      </c>
      <c r="B143" t="s">
        <v>299</v>
      </c>
      <c r="C143" t="s">
        <v>19</v>
      </c>
      <c r="D143" t="s">
        <v>20</v>
      </c>
      <c r="E143" t="s">
        <v>59</v>
      </c>
      <c r="F143" t="s">
        <v>22</v>
      </c>
      <c r="G143">
        <v>3</v>
      </c>
      <c r="H143">
        <v>91081.83</v>
      </c>
      <c r="I143">
        <v>4223.32</v>
      </c>
      <c r="J143" t="s">
        <v>34</v>
      </c>
    </row>
    <row r="144" spans="1:10">
      <c r="A144" t="s">
        <v>300</v>
      </c>
      <c r="B144" t="s">
        <v>154</v>
      </c>
      <c r="C144" t="s">
        <v>26</v>
      </c>
      <c r="D144" t="s">
        <v>20</v>
      </c>
      <c r="E144" t="s">
        <v>21</v>
      </c>
      <c r="F144" t="s">
        <v>22</v>
      </c>
      <c r="G144">
        <v>1</v>
      </c>
      <c r="H144">
        <v>54559.56</v>
      </c>
      <c r="I144">
        <v>-139.24</v>
      </c>
      <c r="J144" t="s">
        <v>23</v>
      </c>
    </row>
    <row r="145" spans="1:10">
      <c r="A145" t="s">
        <v>301</v>
      </c>
      <c r="B145" t="s">
        <v>302</v>
      </c>
      <c r="C145" t="s">
        <v>12</v>
      </c>
      <c r="D145" t="s">
        <v>27</v>
      </c>
      <c r="E145" t="s">
        <v>130</v>
      </c>
      <c r="F145" t="s">
        <v>15</v>
      </c>
      <c r="G145">
        <v>3</v>
      </c>
      <c r="H145">
        <v>5065.76</v>
      </c>
      <c r="I145">
        <v>629.84</v>
      </c>
      <c r="J145" t="s">
        <v>23</v>
      </c>
    </row>
    <row r="146" spans="1:10">
      <c r="A146" t="s">
        <v>303</v>
      </c>
      <c r="B146" t="s">
        <v>304</v>
      </c>
      <c r="C146" t="s">
        <v>26</v>
      </c>
      <c r="D146" t="s">
        <v>13</v>
      </c>
      <c r="E146" t="s">
        <v>14</v>
      </c>
      <c r="F146" t="s">
        <v>22</v>
      </c>
      <c r="G146">
        <v>1</v>
      </c>
      <c r="H146">
        <v>3054.15</v>
      </c>
      <c r="I146">
        <v>483.47</v>
      </c>
      <c r="J146" t="s">
        <v>29</v>
      </c>
    </row>
    <row r="147" spans="1:10">
      <c r="A147" t="s">
        <v>305</v>
      </c>
      <c r="B147" t="s">
        <v>156</v>
      </c>
      <c r="C147" t="s">
        <v>26</v>
      </c>
      <c r="D147" t="s">
        <v>20</v>
      </c>
      <c r="E147" t="s">
        <v>66</v>
      </c>
      <c r="F147" t="s">
        <v>22</v>
      </c>
      <c r="G147">
        <v>1</v>
      </c>
      <c r="H147">
        <v>11628.41</v>
      </c>
      <c r="I147">
        <v>-466.06</v>
      </c>
      <c r="J147" t="s">
        <v>34</v>
      </c>
    </row>
    <row r="148" spans="1:10">
      <c r="A148" t="s">
        <v>306</v>
      </c>
      <c r="B148" t="s">
        <v>160</v>
      </c>
      <c r="C148" t="s">
        <v>19</v>
      </c>
      <c r="D148" t="s">
        <v>20</v>
      </c>
      <c r="E148" t="s">
        <v>117</v>
      </c>
      <c r="F148" t="s">
        <v>22</v>
      </c>
      <c r="G148">
        <v>5</v>
      </c>
      <c r="H148">
        <v>8198.61</v>
      </c>
      <c r="I148">
        <v>-52.53</v>
      </c>
      <c r="J148" t="s">
        <v>29</v>
      </c>
    </row>
    <row r="149" spans="1:10">
      <c r="A149" t="s">
        <v>307</v>
      </c>
      <c r="B149" t="s">
        <v>293</v>
      </c>
      <c r="C149" t="s">
        <v>26</v>
      </c>
      <c r="D149" t="s">
        <v>27</v>
      </c>
      <c r="E149" t="s">
        <v>106</v>
      </c>
      <c r="F149" t="s">
        <v>15</v>
      </c>
      <c r="G149">
        <v>1</v>
      </c>
      <c r="H149">
        <v>2198.85</v>
      </c>
      <c r="I149">
        <v>164.99</v>
      </c>
      <c r="J149" t="s">
        <v>29</v>
      </c>
    </row>
    <row r="150" spans="1:10">
      <c r="A150" t="s">
        <v>308</v>
      </c>
      <c r="B150" t="s">
        <v>309</v>
      </c>
      <c r="C150" t="s">
        <v>32</v>
      </c>
      <c r="D150" t="s">
        <v>20</v>
      </c>
      <c r="E150" t="s">
        <v>117</v>
      </c>
      <c r="F150" t="s">
        <v>22</v>
      </c>
      <c r="G150">
        <v>1</v>
      </c>
      <c r="H150">
        <v>1777.04</v>
      </c>
      <c r="I150">
        <v>151.96</v>
      </c>
      <c r="J150" t="s">
        <v>16</v>
      </c>
    </row>
    <row r="151" spans="1:10">
      <c r="A151" t="s">
        <v>310</v>
      </c>
      <c r="B151" t="s">
        <v>311</v>
      </c>
      <c r="C151" t="s">
        <v>19</v>
      </c>
      <c r="D151" t="s">
        <v>13</v>
      </c>
      <c r="E151" t="s">
        <v>37</v>
      </c>
      <c r="F151" t="s">
        <v>22</v>
      </c>
      <c r="G151">
        <v>3</v>
      </c>
      <c r="H151">
        <v>7753.49</v>
      </c>
      <c r="I151">
        <v>-562.05999999999995</v>
      </c>
      <c r="J151" t="s">
        <v>29</v>
      </c>
    </row>
    <row r="152" spans="1:10">
      <c r="A152" t="s">
        <v>312</v>
      </c>
      <c r="B152" t="s">
        <v>190</v>
      </c>
      <c r="C152" t="s">
        <v>12</v>
      </c>
      <c r="D152" t="s">
        <v>20</v>
      </c>
      <c r="E152" t="s">
        <v>117</v>
      </c>
      <c r="F152" t="s">
        <v>22</v>
      </c>
      <c r="G152">
        <v>1</v>
      </c>
      <c r="H152">
        <v>1707.59</v>
      </c>
      <c r="I152">
        <v>225.39</v>
      </c>
      <c r="J152" t="s">
        <v>29</v>
      </c>
    </row>
    <row r="153" spans="1:10">
      <c r="A153" t="s">
        <v>313</v>
      </c>
      <c r="B153" t="s">
        <v>314</v>
      </c>
      <c r="C153" t="s">
        <v>12</v>
      </c>
      <c r="D153" t="s">
        <v>13</v>
      </c>
      <c r="E153" t="s">
        <v>94</v>
      </c>
      <c r="F153" t="s">
        <v>15</v>
      </c>
      <c r="G153">
        <v>2</v>
      </c>
      <c r="H153">
        <v>2706.52</v>
      </c>
      <c r="I153">
        <v>-52.7</v>
      </c>
      <c r="J153" t="s">
        <v>29</v>
      </c>
    </row>
    <row r="154" spans="1:10">
      <c r="A154" t="s">
        <v>315</v>
      </c>
      <c r="B154" t="s">
        <v>204</v>
      </c>
      <c r="C154" t="s">
        <v>19</v>
      </c>
      <c r="D154" t="s">
        <v>27</v>
      </c>
      <c r="E154" t="s">
        <v>51</v>
      </c>
      <c r="F154" t="s">
        <v>15</v>
      </c>
      <c r="G154">
        <v>2</v>
      </c>
      <c r="H154">
        <v>1288.79</v>
      </c>
      <c r="I154">
        <v>15.66</v>
      </c>
      <c r="J154" t="s">
        <v>23</v>
      </c>
    </row>
    <row r="155" spans="1:10">
      <c r="A155" t="s">
        <v>316</v>
      </c>
      <c r="B155" t="s">
        <v>317</v>
      </c>
      <c r="C155" t="s">
        <v>32</v>
      </c>
      <c r="D155" t="s">
        <v>13</v>
      </c>
      <c r="E155" t="s">
        <v>37</v>
      </c>
      <c r="F155" t="s">
        <v>22</v>
      </c>
      <c r="G155">
        <v>4</v>
      </c>
      <c r="H155">
        <v>11769.96</v>
      </c>
      <c r="I155">
        <v>2278.14</v>
      </c>
      <c r="J155" t="s">
        <v>23</v>
      </c>
    </row>
    <row r="156" spans="1:10">
      <c r="A156" t="s">
        <v>318</v>
      </c>
      <c r="B156" t="s">
        <v>285</v>
      </c>
      <c r="C156" t="s">
        <v>12</v>
      </c>
      <c r="D156" t="s">
        <v>27</v>
      </c>
      <c r="E156" t="s">
        <v>106</v>
      </c>
      <c r="F156" t="s">
        <v>22</v>
      </c>
      <c r="G156">
        <v>4</v>
      </c>
      <c r="H156">
        <v>8698.2900000000009</v>
      </c>
      <c r="I156">
        <v>252.38</v>
      </c>
      <c r="J156" t="s">
        <v>34</v>
      </c>
    </row>
    <row r="157" spans="1:10">
      <c r="A157" t="s">
        <v>319</v>
      </c>
      <c r="B157" t="s">
        <v>320</v>
      </c>
      <c r="C157" t="s">
        <v>12</v>
      </c>
      <c r="D157" t="s">
        <v>27</v>
      </c>
      <c r="E157" t="s">
        <v>41</v>
      </c>
      <c r="F157" t="s">
        <v>15</v>
      </c>
      <c r="G157">
        <v>4</v>
      </c>
      <c r="H157">
        <v>12705.3</v>
      </c>
      <c r="I157">
        <v>670.15</v>
      </c>
      <c r="J157" t="s">
        <v>16</v>
      </c>
    </row>
    <row r="158" spans="1:10">
      <c r="A158" t="s">
        <v>321</v>
      </c>
      <c r="B158" t="s">
        <v>172</v>
      </c>
      <c r="C158" t="s">
        <v>26</v>
      </c>
      <c r="D158" t="s">
        <v>27</v>
      </c>
      <c r="E158" t="s">
        <v>28</v>
      </c>
      <c r="F158" t="s">
        <v>15</v>
      </c>
      <c r="G158">
        <v>5</v>
      </c>
      <c r="H158">
        <v>10363.040000000001</v>
      </c>
      <c r="I158">
        <v>1927.65</v>
      </c>
      <c r="J158" t="s">
        <v>29</v>
      </c>
    </row>
    <row r="159" spans="1:10">
      <c r="A159" t="s">
        <v>322</v>
      </c>
      <c r="B159" t="s">
        <v>323</v>
      </c>
      <c r="C159" t="s">
        <v>32</v>
      </c>
      <c r="D159" t="s">
        <v>13</v>
      </c>
      <c r="E159" t="s">
        <v>37</v>
      </c>
      <c r="F159" t="s">
        <v>15</v>
      </c>
      <c r="G159">
        <v>5</v>
      </c>
      <c r="H159">
        <v>13022.41</v>
      </c>
      <c r="I159">
        <v>-751.72</v>
      </c>
      <c r="J159" t="s">
        <v>23</v>
      </c>
    </row>
    <row r="160" spans="1:10">
      <c r="A160" t="s">
        <v>324</v>
      </c>
      <c r="B160" t="s">
        <v>325</v>
      </c>
      <c r="C160" t="s">
        <v>19</v>
      </c>
      <c r="D160" t="s">
        <v>20</v>
      </c>
      <c r="E160" t="s">
        <v>33</v>
      </c>
      <c r="F160" t="s">
        <v>22</v>
      </c>
      <c r="G160">
        <v>4</v>
      </c>
      <c r="H160">
        <v>10981.97</v>
      </c>
      <c r="I160">
        <v>1193.3499999999999</v>
      </c>
      <c r="J160" t="s">
        <v>29</v>
      </c>
    </row>
    <row r="161" spans="1:10">
      <c r="A161" t="s">
        <v>326</v>
      </c>
      <c r="B161" t="s">
        <v>327</v>
      </c>
      <c r="C161" t="s">
        <v>32</v>
      </c>
      <c r="D161" t="s">
        <v>27</v>
      </c>
      <c r="E161" t="s">
        <v>41</v>
      </c>
      <c r="F161" t="s">
        <v>15</v>
      </c>
      <c r="G161">
        <v>4</v>
      </c>
      <c r="H161">
        <v>14768.5</v>
      </c>
      <c r="I161">
        <v>2427.9899999999998</v>
      </c>
      <c r="J161" t="s">
        <v>29</v>
      </c>
    </row>
    <row r="162" spans="1:10">
      <c r="A162" t="s">
        <v>328</v>
      </c>
      <c r="B162" t="s">
        <v>329</v>
      </c>
      <c r="C162" t="s">
        <v>19</v>
      </c>
      <c r="D162" t="s">
        <v>20</v>
      </c>
      <c r="E162" t="s">
        <v>66</v>
      </c>
      <c r="F162" t="s">
        <v>22</v>
      </c>
      <c r="G162">
        <v>4</v>
      </c>
      <c r="H162">
        <v>45927.81</v>
      </c>
      <c r="I162">
        <v>8292</v>
      </c>
      <c r="J162" t="s">
        <v>34</v>
      </c>
    </row>
    <row r="163" spans="1:10">
      <c r="A163" t="s">
        <v>330</v>
      </c>
      <c r="B163" t="s">
        <v>331</v>
      </c>
      <c r="C163" t="s">
        <v>26</v>
      </c>
      <c r="D163" t="s">
        <v>13</v>
      </c>
      <c r="E163" t="s">
        <v>44</v>
      </c>
      <c r="F163" t="s">
        <v>15</v>
      </c>
      <c r="G163">
        <v>3</v>
      </c>
      <c r="H163">
        <v>2597.5300000000002</v>
      </c>
      <c r="I163">
        <v>405.68</v>
      </c>
      <c r="J163" t="s">
        <v>34</v>
      </c>
    </row>
    <row r="164" spans="1:10">
      <c r="A164" t="s">
        <v>332</v>
      </c>
      <c r="B164" t="s">
        <v>333</v>
      </c>
      <c r="C164" t="s">
        <v>12</v>
      </c>
      <c r="D164" t="s">
        <v>27</v>
      </c>
      <c r="E164" t="s">
        <v>28</v>
      </c>
      <c r="F164" t="s">
        <v>22</v>
      </c>
      <c r="G164">
        <v>4</v>
      </c>
      <c r="H164">
        <v>7818.11</v>
      </c>
      <c r="I164">
        <v>299.05</v>
      </c>
      <c r="J164" t="s">
        <v>29</v>
      </c>
    </row>
    <row r="165" spans="1:10">
      <c r="A165" t="s">
        <v>334</v>
      </c>
      <c r="B165" t="s">
        <v>304</v>
      </c>
      <c r="C165" t="s">
        <v>19</v>
      </c>
      <c r="D165" t="s">
        <v>20</v>
      </c>
      <c r="E165" t="s">
        <v>59</v>
      </c>
      <c r="F165" t="s">
        <v>15</v>
      </c>
      <c r="G165">
        <v>3</v>
      </c>
      <c r="H165">
        <v>78628.42</v>
      </c>
      <c r="I165">
        <v>-227.29</v>
      </c>
      <c r="J165" t="s">
        <v>23</v>
      </c>
    </row>
    <row r="166" spans="1:10">
      <c r="A166" t="s">
        <v>335</v>
      </c>
      <c r="B166" t="s">
        <v>336</v>
      </c>
      <c r="C166" t="s">
        <v>12</v>
      </c>
      <c r="D166" t="s">
        <v>20</v>
      </c>
      <c r="E166" t="s">
        <v>21</v>
      </c>
      <c r="F166" t="s">
        <v>22</v>
      </c>
      <c r="G166">
        <v>3</v>
      </c>
      <c r="H166">
        <v>166746.17000000001</v>
      </c>
      <c r="I166">
        <v>-7268.35</v>
      </c>
      <c r="J166" t="s">
        <v>23</v>
      </c>
    </row>
    <row r="167" spans="1:10">
      <c r="A167" t="s">
        <v>337</v>
      </c>
      <c r="B167" t="s">
        <v>338</v>
      </c>
      <c r="C167" t="s">
        <v>19</v>
      </c>
      <c r="D167" t="s">
        <v>13</v>
      </c>
      <c r="E167" t="s">
        <v>37</v>
      </c>
      <c r="F167" t="s">
        <v>22</v>
      </c>
      <c r="G167">
        <v>2</v>
      </c>
      <c r="H167">
        <v>5221.72</v>
      </c>
      <c r="I167">
        <v>1145.04</v>
      </c>
      <c r="J167" t="s">
        <v>34</v>
      </c>
    </row>
    <row r="168" spans="1:10">
      <c r="A168" t="s">
        <v>339</v>
      </c>
      <c r="B168" t="s">
        <v>317</v>
      </c>
      <c r="C168" t="s">
        <v>19</v>
      </c>
      <c r="D168" t="s">
        <v>27</v>
      </c>
      <c r="E168" t="s">
        <v>130</v>
      </c>
      <c r="F168" t="s">
        <v>15</v>
      </c>
      <c r="G168">
        <v>2</v>
      </c>
      <c r="H168">
        <v>3500.54</v>
      </c>
      <c r="I168">
        <v>489.43</v>
      </c>
      <c r="J168" t="s">
        <v>29</v>
      </c>
    </row>
    <row r="169" spans="1:10">
      <c r="A169" t="s">
        <v>340</v>
      </c>
      <c r="B169" t="s">
        <v>238</v>
      </c>
      <c r="C169" t="s">
        <v>26</v>
      </c>
      <c r="D169" t="s">
        <v>27</v>
      </c>
      <c r="E169" t="s">
        <v>51</v>
      </c>
      <c r="F169" t="s">
        <v>22</v>
      </c>
      <c r="G169">
        <v>3</v>
      </c>
      <c r="H169">
        <v>2174.89</v>
      </c>
      <c r="I169">
        <v>272.62</v>
      </c>
      <c r="J169" t="s">
        <v>16</v>
      </c>
    </row>
    <row r="170" spans="1:10">
      <c r="A170" t="s">
        <v>341</v>
      </c>
      <c r="B170" t="s">
        <v>342</v>
      </c>
      <c r="C170" t="s">
        <v>19</v>
      </c>
      <c r="D170" t="s">
        <v>13</v>
      </c>
      <c r="E170" t="s">
        <v>56</v>
      </c>
      <c r="F170" t="s">
        <v>22</v>
      </c>
      <c r="G170">
        <v>4</v>
      </c>
      <c r="H170">
        <v>19678.57</v>
      </c>
      <c r="I170">
        <v>4212.8</v>
      </c>
      <c r="J170" t="s">
        <v>34</v>
      </c>
    </row>
    <row r="171" spans="1:10">
      <c r="A171" t="s">
        <v>343</v>
      </c>
      <c r="B171" t="s">
        <v>344</v>
      </c>
      <c r="C171" t="s">
        <v>12</v>
      </c>
      <c r="D171" t="s">
        <v>13</v>
      </c>
      <c r="E171" t="s">
        <v>37</v>
      </c>
      <c r="F171" t="s">
        <v>22</v>
      </c>
      <c r="G171">
        <v>3</v>
      </c>
      <c r="H171">
        <v>8491.6299999999992</v>
      </c>
      <c r="I171">
        <v>-365.71</v>
      </c>
      <c r="J171" t="s">
        <v>34</v>
      </c>
    </row>
    <row r="172" spans="1:10">
      <c r="A172" t="s">
        <v>345</v>
      </c>
      <c r="B172" t="s">
        <v>346</v>
      </c>
      <c r="C172" t="s">
        <v>12</v>
      </c>
      <c r="D172" t="s">
        <v>20</v>
      </c>
      <c r="E172" t="s">
        <v>347</v>
      </c>
      <c r="F172" t="s">
        <v>15</v>
      </c>
      <c r="G172">
        <v>4</v>
      </c>
      <c r="H172">
        <v>121078.86</v>
      </c>
      <c r="I172">
        <v>-3263.62</v>
      </c>
      <c r="J172" t="s">
        <v>16</v>
      </c>
    </row>
    <row r="173" spans="1:10">
      <c r="A173" t="s">
        <v>348</v>
      </c>
      <c r="B173" t="s">
        <v>89</v>
      </c>
      <c r="C173" t="s">
        <v>26</v>
      </c>
      <c r="D173" t="s">
        <v>27</v>
      </c>
      <c r="E173" t="s">
        <v>106</v>
      </c>
      <c r="F173" t="s">
        <v>15</v>
      </c>
      <c r="G173">
        <v>4</v>
      </c>
      <c r="H173">
        <v>8013.73</v>
      </c>
      <c r="I173">
        <v>807.16</v>
      </c>
      <c r="J173" t="s">
        <v>29</v>
      </c>
    </row>
    <row r="174" spans="1:10">
      <c r="A174" t="s">
        <v>349</v>
      </c>
      <c r="B174" t="s">
        <v>350</v>
      </c>
      <c r="C174" t="s">
        <v>32</v>
      </c>
      <c r="D174" t="s">
        <v>20</v>
      </c>
      <c r="E174" t="s">
        <v>21</v>
      </c>
      <c r="F174" t="s">
        <v>15</v>
      </c>
      <c r="G174">
        <v>3</v>
      </c>
      <c r="H174">
        <v>169441.77</v>
      </c>
      <c r="I174">
        <v>37633.599999999999</v>
      </c>
      <c r="J174" t="s">
        <v>23</v>
      </c>
    </row>
    <row r="175" spans="1:10">
      <c r="A175" t="s">
        <v>351</v>
      </c>
      <c r="B175" t="s">
        <v>352</v>
      </c>
      <c r="C175" t="s">
        <v>26</v>
      </c>
      <c r="D175" t="s">
        <v>20</v>
      </c>
      <c r="E175" t="s">
        <v>59</v>
      </c>
      <c r="F175" t="s">
        <v>22</v>
      </c>
      <c r="G175">
        <v>4</v>
      </c>
      <c r="H175">
        <v>116392.01</v>
      </c>
      <c r="I175">
        <v>-3495.79</v>
      </c>
      <c r="J175" t="s">
        <v>34</v>
      </c>
    </row>
    <row r="176" spans="1:10">
      <c r="A176" t="s">
        <v>353</v>
      </c>
      <c r="B176" t="s">
        <v>354</v>
      </c>
      <c r="C176" t="s">
        <v>26</v>
      </c>
      <c r="D176" t="s">
        <v>20</v>
      </c>
      <c r="E176" t="s">
        <v>21</v>
      </c>
      <c r="F176" t="s">
        <v>15</v>
      </c>
      <c r="G176">
        <v>3</v>
      </c>
      <c r="H176">
        <v>147128.43</v>
      </c>
      <c r="I176">
        <v>-3850.78</v>
      </c>
      <c r="J176" t="s">
        <v>29</v>
      </c>
    </row>
    <row r="177" spans="1:10">
      <c r="A177" t="s">
        <v>355</v>
      </c>
      <c r="B177" t="s">
        <v>297</v>
      </c>
      <c r="C177" t="s">
        <v>26</v>
      </c>
      <c r="D177" t="s">
        <v>20</v>
      </c>
      <c r="E177" t="s">
        <v>59</v>
      </c>
      <c r="F177" t="s">
        <v>15</v>
      </c>
      <c r="G177">
        <v>1</v>
      </c>
      <c r="H177">
        <v>25467.4</v>
      </c>
      <c r="I177">
        <v>1811.68</v>
      </c>
      <c r="J177" t="s">
        <v>34</v>
      </c>
    </row>
    <row r="178" spans="1:10">
      <c r="A178" t="s">
        <v>356</v>
      </c>
      <c r="B178" t="s">
        <v>357</v>
      </c>
      <c r="C178" t="s">
        <v>19</v>
      </c>
      <c r="D178" t="s">
        <v>27</v>
      </c>
      <c r="E178" t="s">
        <v>28</v>
      </c>
      <c r="F178" t="s">
        <v>22</v>
      </c>
      <c r="G178">
        <v>5</v>
      </c>
      <c r="H178">
        <v>8581.23</v>
      </c>
      <c r="I178">
        <v>905.62</v>
      </c>
      <c r="J178" t="s">
        <v>16</v>
      </c>
    </row>
    <row r="179" spans="1:10">
      <c r="A179" t="s">
        <v>358</v>
      </c>
      <c r="B179" t="s">
        <v>359</v>
      </c>
      <c r="C179" t="s">
        <v>12</v>
      </c>
      <c r="D179" t="s">
        <v>20</v>
      </c>
      <c r="E179" t="s">
        <v>66</v>
      </c>
      <c r="F179" t="s">
        <v>22</v>
      </c>
      <c r="G179">
        <v>3</v>
      </c>
      <c r="H179">
        <v>34132.06</v>
      </c>
      <c r="I179">
        <v>2388.0300000000002</v>
      </c>
      <c r="J179" t="s">
        <v>34</v>
      </c>
    </row>
    <row r="180" spans="1:10">
      <c r="A180" t="s">
        <v>360</v>
      </c>
      <c r="B180" t="s">
        <v>361</v>
      </c>
      <c r="C180" t="s">
        <v>26</v>
      </c>
      <c r="D180" t="s">
        <v>13</v>
      </c>
      <c r="E180" t="s">
        <v>56</v>
      </c>
      <c r="F180" t="s">
        <v>22</v>
      </c>
      <c r="G180">
        <v>5</v>
      </c>
      <c r="H180">
        <v>23788.86</v>
      </c>
      <c r="I180">
        <v>2444.17</v>
      </c>
      <c r="J180" t="s">
        <v>34</v>
      </c>
    </row>
    <row r="181" spans="1:10">
      <c r="A181" t="s">
        <v>362</v>
      </c>
      <c r="B181" t="s">
        <v>363</v>
      </c>
      <c r="C181" t="s">
        <v>32</v>
      </c>
      <c r="D181" t="s">
        <v>13</v>
      </c>
      <c r="E181" t="s">
        <v>37</v>
      </c>
      <c r="F181" t="s">
        <v>15</v>
      </c>
      <c r="G181">
        <v>3</v>
      </c>
      <c r="H181">
        <v>7986.13</v>
      </c>
      <c r="I181">
        <v>-592.19000000000005</v>
      </c>
      <c r="J181" t="s">
        <v>34</v>
      </c>
    </row>
    <row r="182" spans="1:10">
      <c r="A182" t="s">
        <v>364</v>
      </c>
      <c r="B182" t="s">
        <v>365</v>
      </c>
      <c r="C182" t="s">
        <v>19</v>
      </c>
      <c r="D182" t="s">
        <v>13</v>
      </c>
      <c r="E182" t="s">
        <v>94</v>
      </c>
      <c r="F182" t="s">
        <v>22</v>
      </c>
      <c r="G182">
        <v>2</v>
      </c>
      <c r="H182">
        <v>2544.83</v>
      </c>
      <c r="I182">
        <v>296.64</v>
      </c>
      <c r="J182" t="s">
        <v>16</v>
      </c>
    </row>
    <row r="183" spans="1:10">
      <c r="A183" t="s">
        <v>366</v>
      </c>
      <c r="B183" t="s">
        <v>367</v>
      </c>
      <c r="C183" t="s">
        <v>12</v>
      </c>
      <c r="D183" t="s">
        <v>13</v>
      </c>
      <c r="E183" t="s">
        <v>44</v>
      </c>
      <c r="F183" t="s">
        <v>22</v>
      </c>
      <c r="G183">
        <v>2</v>
      </c>
      <c r="H183">
        <v>1642.72</v>
      </c>
      <c r="I183">
        <v>327.61</v>
      </c>
      <c r="J183" t="s">
        <v>23</v>
      </c>
    </row>
    <row r="184" spans="1:10">
      <c r="A184" t="s">
        <v>368</v>
      </c>
      <c r="B184" t="s">
        <v>369</v>
      </c>
      <c r="C184" t="s">
        <v>26</v>
      </c>
      <c r="D184" t="s">
        <v>20</v>
      </c>
      <c r="E184" t="s">
        <v>33</v>
      </c>
      <c r="F184" t="s">
        <v>22</v>
      </c>
      <c r="G184">
        <v>1</v>
      </c>
      <c r="H184">
        <v>2407.8000000000002</v>
      </c>
      <c r="I184">
        <v>76.150000000000006</v>
      </c>
      <c r="J184" t="s">
        <v>34</v>
      </c>
    </row>
    <row r="185" spans="1:10">
      <c r="A185" t="s">
        <v>370</v>
      </c>
      <c r="B185" t="s">
        <v>371</v>
      </c>
      <c r="C185" t="s">
        <v>32</v>
      </c>
      <c r="D185" t="s">
        <v>13</v>
      </c>
      <c r="E185" t="s">
        <v>44</v>
      </c>
      <c r="F185" t="s">
        <v>22</v>
      </c>
      <c r="G185">
        <v>3</v>
      </c>
      <c r="H185">
        <v>2622.77</v>
      </c>
      <c r="I185">
        <v>527.45000000000005</v>
      </c>
      <c r="J185" t="s">
        <v>34</v>
      </c>
    </row>
    <row r="186" spans="1:10">
      <c r="A186" t="s">
        <v>372</v>
      </c>
      <c r="B186" t="s">
        <v>373</v>
      </c>
      <c r="C186" t="s">
        <v>32</v>
      </c>
      <c r="D186" t="s">
        <v>27</v>
      </c>
      <c r="E186" t="s">
        <v>41</v>
      </c>
      <c r="F186" t="s">
        <v>15</v>
      </c>
      <c r="G186">
        <v>4</v>
      </c>
      <c r="H186">
        <v>14681.26</v>
      </c>
      <c r="I186">
        <v>3553.89</v>
      </c>
      <c r="J186" t="s">
        <v>16</v>
      </c>
    </row>
    <row r="187" spans="1:10">
      <c r="A187" t="s">
        <v>374</v>
      </c>
      <c r="B187" t="s">
        <v>375</v>
      </c>
      <c r="C187" t="s">
        <v>26</v>
      </c>
      <c r="D187" t="s">
        <v>13</v>
      </c>
      <c r="E187" t="s">
        <v>37</v>
      </c>
      <c r="F187" t="s">
        <v>15</v>
      </c>
      <c r="G187">
        <v>3</v>
      </c>
      <c r="H187">
        <v>9112.84</v>
      </c>
      <c r="I187">
        <v>974.52</v>
      </c>
      <c r="J187" t="s">
        <v>16</v>
      </c>
    </row>
    <row r="188" spans="1:10">
      <c r="A188" t="s">
        <v>376</v>
      </c>
      <c r="B188" t="s">
        <v>377</v>
      </c>
      <c r="C188" t="s">
        <v>32</v>
      </c>
      <c r="D188" t="s">
        <v>13</v>
      </c>
      <c r="E188" t="s">
        <v>44</v>
      </c>
      <c r="F188" t="s">
        <v>22</v>
      </c>
      <c r="G188">
        <v>5</v>
      </c>
      <c r="H188">
        <v>4314.3900000000003</v>
      </c>
      <c r="I188">
        <v>-185.8</v>
      </c>
      <c r="J188" t="s">
        <v>16</v>
      </c>
    </row>
    <row r="189" spans="1:10">
      <c r="A189" t="s">
        <v>378</v>
      </c>
      <c r="B189" t="s">
        <v>172</v>
      </c>
      <c r="C189" t="s">
        <v>32</v>
      </c>
      <c r="D189" t="s">
        <v>13</v>
      </c>
      <c r="E189" t="s">
        <v>37</v>
      </c>
      <c r="F189" t="s">
        <v>22</v>
      </c>
      <c r="G189">
        <v>2</v>
      </c>
      <c r="H189">
        <v>5812.54</v>
      </c>
      <c r="I189">
        <v>270.61</v>
      </c>
      <c r="J189" t="s">
        <v>29</v>
      </c>
    </row>
    <row r="190" spans="1:10">
      <c r="A190" t="s">
        <v>379</v>
      </c>
      <c r="B190" t="s">
        <v>380</v>
      </c>
      <c r="C190" t="s">
        <v>19</v>
      </c>
      <c r="D190" t="s">
        <v>13</v>
      </c>
      <c r="E190" t="s">
        <v>14</v>
      </c>
      <c r="F190" t="s">
        <v>15</v>
      </c>
      <c r="G190">
        <v>1</v>
      </c>
      <c r="H190">
        <v>3309.56</v>
      </c>
      <c r="I190">
        <v>219.21</v>
      </c>
      <c r="J190" t="s">
        <v>23</v>
      </c>
    </row>
    <row r="191" spans="1:10">
      <c r="A191" t="s">
        <v>381</v>
      </c>
      <c r="B191" t="s">
        <v>93</v>
      </c>
      <c r="C191" t="s">
        <v>32</v>
      </c>
      <c r="D191" t="s">
        <v>13</v>
      </c>
      <c r="E191" t="s">
        <v>37</v>
      </c>
      <c r="F191" t="s">
        <v>22</v>
      </c>
      <c r="G191">
        <v>1</v>
      </c>
      <c r="H191">
        <v>2590.69</v>
      </c>
      <c r="I191">
        <v>12.85</v>
      </c>
      <c r="J191" t="s">
        <v>16</v>
      </c>
    </row>
    <row r="192" spans="1:10">
      <c r="A192" t="s">
        <v>382</v>
      </c>
      <c r="B192" t="s">
        <v>383</v>
      </c>
      <c r="C192" t="s">
        <v>32</v>
      </c>
      <c r="D192" t="s">
        <v>13</v>
      </c>
      <c r="E192" t="s">
        <v>14</v>
      </c>
      <c r="F192" t="s">
        <v>22</v>
      </c>
      <c r="G192">
        <v>5</v>
      </c>
      <c r="H192">
        <v>14891</v>
      </c>
      <c r="I192">
        <v>1220.6500000000001</v>
      </c>
      <c r="J192" t="s">
        <v>34</v>
      </c>
    </row>
    <row r="193" spans="1:10">
      <c r="A193" t="s">
        <v>384</v>
      </c>
      <c r="B193" t="s">
        <v>385</v>
      </c>
      <c r="C193" t="s">
        <v>19</v>
      </c>
      <c r="D193" t="s">
        <v>13</v>
      </c>
      <c r="E193" t="s">
        <v>44</v>
      </c>
      <c r="F193" t="s">
        <v>15</v>
      </c>
      <c r="G193">
        <v>5</v>
      </c>
      <c r="H193">
        <v>4380.25</v>
      </c>
      <c r="I193">
        <v>145.33000000000001</v>
      </c>
      <c r="J193" t="s">
        <v>34</v>
      </c>
    </row>
    <row r="194" spans="1:10">
      <c r="A194" t="s">
        <v>386</v>
      </c>
      <c r="B194" t="s">
        <v>387</v>
      </c>
      <c r="C194" t="s">
        <v>32</v>
      </c>
      <c r="D194" t="s">
        <v>13</v>
      </c>
      <c r="E194" t="s">
        <v>44</v>
      </c>
      <c r="F194" t="s">
        <v>22</v>
      </c>
      <c r="G194">
        <v>4</v>
      </c>
      <c r="H194">
        <v>3612.78</v>
      </c>
      <c r="I194">
        <v>899.13</v>
      </c>
      <c r="J194" t="s">
        <v>16</v>
      </c>
    </row>
    <row r="195" spans="1:10">
      <c r="A195" t="s">
        <v>388</v>
      </c>
      <c r="B195" t="s">
        <v>164</v>
      </c>
      <c r="C195" t="s">
        <v>12</v>
      </c>
      <c r="D195" t="s">
        <v>20</v>
      </c>
      <c r="E195" t="s">
        <v>66</v>
      </c>
      <c r="F195" t="s">
        <v>15</v>
      </c>
      <c r="G195">
        <v>3</v>
      </c>
      <c r="H195">
        <v>37396.660000000003</v>
      </c>
      <c r="I195">
        <v>10452.61</v>
      </c>
      <c r="J195" t="s">
        <v>34</v>
      </c>
    </row>
    <row r="196" spans="1:10">
      <c r="A196" t="s">
        <v>389</v>
      </c>
      <c r="B196" t="s">
        <v>390</v>
      </c>
      <c r="C196" t="s">
        <v>32</v>
      </c>
      <c r="D196" t="s">
        <v>27</v>
      </c>
      <c r="E196" t="s">
        <v>51</v>
      </c>
      <c r="F196" t="s">
        <v>15</v>
      </c>
      <c r="G196">
        <v>4</v>
      </c>
      <c r="H196">
        <v>3078.47</v>
      </c>
      <c r="I196">
        <v>651.97</v>
      </c>
      <c r="J196" t="s">
        <v>29</v>
      </c>
    </row>
    <row r="197" spans="1:10">
      <c r="A197" t="s">
        <v>391</v>
      </c>
      <c r="B197" t="s">
        <v>142</v>
      </c>
      <c r="C197" t="s">
        <v>19</v>
      </c>
      <c r="D197" t="s">
        <v>27</v>
      </c>
      <c r="E197" t="s">
        <v>51</v>
      </c>
      <c r="F197" t="s">
        <v>15</v>
      </c>
      <c r="G197">
        <v>2</v>
      </c>
      <c r="H197">
        <v>1482.23</v>
      </c>
      <c r="I197">
        <v>152.9</v>
      </c>
      <c r="J197" t="s">
        <v>23</v>
      </c>
    </row>
    <row r="198" spans="1:10">
      <c r="A198" t="s">
        <v>392</v>
      </c>
      <c r="B198" t="s">
        <v>110</v>
      </c>
      <c r="C198" t="s">
        <v>19</v>
      </c>
      <c r="D198" t="s">
        <v>27</v>
      </c>
      <c r="E198" t="s">
        <v>106</v>
      </c>
      <c r="F198" t="s">
        <v>15</v>
      </c>
      <c r="G198">
        <v>3</v>
      </c>
      <c r="H198">
        <v>6671.31</v>
      </c>
      <c r="I198">
        <v>352.3</v>
      </c>
      <c r="J198" t="s">
        <v>34</v>
      </c>
    </row>
    <row r="199" spans="1:10">
      <c r="A199" t="s">
        <v>393</v>
      </c>
      <c r="B199" t="s">
        <v>394</v>
      </c>
      <c r="C199" t="s">
        <v>12</v>
      </c>
      <c r="D199" t="s">
        <v>27</v>
      </c>
      <c r="E199" t="s">
        <v>41</v>
      </c>
      <c r="F199" t="s">
        <v>15</v>
      </c>
      <c r="G199">
        <v>4</v>
      </c>
      <c r="H199">
        <v>14071.95</v>
      </c>
      <c r="I199">
        <v>2770.76</v>
      </c>
      <c r="J199" t="s">
        <v>29</v>
      </c>
    </row>
    <row r="200" spans="1:10">
      <c r="A200" t="s">
        <v>395</v>
      </c>
      <c r="B200" t="s">
        <v>333</v>
      </c>
      <c r="C200" t="s">
        <v>19</v>
      </c>
      <c r="D200" t="s">
        <v>13</v>
      </c>
      <c r="E200" t="s">
        <v>14</v>
      </c>
      <c r="F200" t="s">
        <v>15</v>
      </c>
      <c r="G200">
        <v>4</v>
      </c>
      <c r="H200">
        <v>12712.53</v>
      </c>
      <c r="I200">
        <v>1350.7</v>
      </c>
      <c r="J200" t="s">
        <v>16</v>
      </c>
    </row>
    <row r="201" spans="1:10">
      <c r="A201" t="s">
        <v>396</v>
      </c>
      <c r="B201" t="s">
        <v>219</v>
      </c>
      <c r="C201" t="s">
        <v>32</v>
      </c>
      <c r="D201" t="s">
        <v>13</v>
      </c>
      <c r="E201" t="s">
        <v>14</v>
      </c>
      <c r="F201" t="s">
        <v>15</v>
      </c>
      <c r="G201">
        <v>1</v>
      </c>
      <c r="H201">
        <v>3211.59</v>
      </c>
      <c r="I201">
        <v>94.69</v>
      </c>
      <c r="J201" t="s">
        <v>29</v>
      </c>
    </row>
    <row r="202" spans="1:10">
      <c r="A202" t="s">
        <v>397</v>
      </c>
      <c r="B202" t="s">
        <v>110</v>
      </c>
      <c r="C202" t="s">
        <v>32</v>
      </c>
      <c r="D202" t="s">
        <v>13</v>
      </c>
      <c r="E202" t="s">
        <v>94</v>
      </c>
      <c r="F202" t="s">
        <v>15</v>
      </c>
      <c r="G202">
        <v>1</v>
      </c>
      <c r="H202">
        <v>1330.17</v>
      </c>
      <c r="J202" t="s">
        <v>29</v>
      </c>
    </row>
    <row r="203" spans="1:10">
      <c r="A203" t="s">
        <v>398</v>
      </c>
      <c r="B203" t="s">
        <v>399</v>
      </c>
      <c r="C203" t="s">
        <v>19</v>
      </c>
      <c r="D203" t="s">
        <v>13</v>
      </c>
      <c r="E203" t="s">
        <v>56</v>
      </c>
      <c r="F203" t="s">
        <v>15</v>
      </c>
      <c r="G203">
        <v>1</v>
      </c>
      <c r="H203">
        <v>4502.32</v>
      </c>
      <c r="I203">
        <v>-86.85</v>
      </c>
      <c r="J203" t="s">
        <v>29</v>
      </c>
    </row>
    <row r="204" spans="1:10">
      <c r="A204" t="s">
        <v>400</v>
      </c>
      <c r="B204" t="s">
        <v>401</v>
      </c>
      <c r="C204" t="s">
        <v>32</v>
      </c>
      <c r="D204" t="s">
        <v>13</v>
      </c>
      <c r="E204" t="s">
        <v>14</v>
      </c>
      <c r="F204" t="s">
        <v>15</v>
      </c>
      <c r="G204">
        <v>1</v>
      </c>
      <c r="H204">
        <v>2931.98</v>
      </c>
      <c r="I204">
        <v>766.64</v>
      </c>
      <c r="J204" t="s">
        <v>16</v>
      </c>
    </row>
    <row r="205" spans="1:10">
      <c r="A205" t="s">
        <v>402</v>
      </c>
      <c r="B205" t="s">
        <v>403</v>
      </c>
      <c r="C205" t="s">
        <v>32</v>
      </c>
      <c r="D205" t="s">
        <v>13</v>
      </c>
      <c r="E205" t="s">
        <v>14</v>
      </c>
      <c r="F205" t="s">
        <v>22</v>
      </c>
      <c r="G205">
        <v>4</v>
      </c>
      <c r="H205">
        <v>13795.83</v>
      </c>
      <c r="I205">
        <v>1605.94</v>
      </c>
      <c r="J205" t="s">
        <v>23</v>
      </c>
    </row>
    <row r="206" spans="1:10">
      <c r="A206" t="s">
        <v>404</v>
      </c>
      <c r="B206" t="s">
        <v>98</v>
      </c>
      <c r="C206" t="s">
        <v>26</v>
      </c>
      <c r="D206" t="s">
        <v>13</v>
      </c>
      <c r="E206" t="s">
        <v>37</v>
      </c>
      <c r="F206" t="s">
        <v>22</v>
      </c>
      <c r="G206">
        <v>3</v>
      </c>
      <c r="H206">
        <v>8321.9500000000007</v>
      </c>
      <c r="I206">
        <v>1397.26</v>
      </c>
      <c r="J206" t="s">
        <v>16</v>
      </c>
    </row>
    <row r="207" spans="1:10">
      <c r="A207" t="s">
        <v>405</v>
      </c>
      <c r="B207" t="s">
        <v>390</v>
      </c>
      <c r="C207" t="s">
        <v>32</v>
      </c>
      <c r="D207" t="s">
        <v>27</v>
      </c>
      <c r="E207" t="s">
        <v>51</v>
      </c>
      <c r="F207" t="s">
        <v>22</v>
      </c>
      <c r="G207">
        <v>3</v>
      </c>
      <c r="H207">
        <v>2144.8000000000002</v>
      </c>
      <c r="I207">
        <v>69.77</v>
      </c>
      <c r="J207" t="s">
        <v>23</v>
      </c>
    </row>
    <row r="208" spans="1:10">
      <c r="A208" t="s">
        <v>406</v>
      </c>
      <c r="B208" t="s">
        <v>142</v>
      </c>
      <c r="C208" t="s">
        <v>32</v>
      </c>
      <c r="D208" t="s">
        <v>27</v>
      </c>
      <c r="E208" t="s">
        <v>28</v>
      </c>
      <c r="F208" t="s">
        <v>22</v>
      </c>
      <c r="G208">
        <v>5</v>
      </c>
      <c r="H208">
        <v>8751.75</v>
      </c>
      <c r="I208">
        <v>61.49</v>
      </c>
      <c r="J208" t="s">
        <v>23</v>
      </c>
    </row>
    <row r="209" spans="1:10">
      <c r="A209" t="s">
        <v>407</v>
      </c>
      <c r="B209" t="s">
        <v>408</v>
      </c>
      <c r="C209" t="s">
        <v>26</v>
      </c>
      <c r="D209" t="s">
        <v>20</v>
      </c>
      <c r="E209" t="s">
        <v>21</v>
      </c>
      <c r="F209" t="s">
        <v>15</v>
      </c>
      <c r="G209">
        <v>1</v>
      </c>
      <c r="H209">
        <v>49818.2</v>
      </c>
      <c r="I209">
        <v>2904.1</v>
      </c>
      <c r="J209" t="s">
        <v>23</v>
      </c>
    </row>
    <row r="210" spans="1:10">
      <c r="A210" t="s">
        <v>409</v>
      </c>
      <c r="B210" t="s">
        <v>410</v>
      </c>
      <c r="C210" t="s">
        <v>26</v>
      </c>
      <c r="D210" t="s">
        <v>27</v>
      </c>
      <c r="E210" t="s">
        <v>28</v>
      </c>
      <c r="F210" t="s">
        <v>22</v>
      </c>
      <c r="G210">
        <v>3</v>
      </c>
      <c r="H210">
        <v>5346.41</v>
      </c>
      <c r="I210">
        <v>-121.03</v>
      </c>
      <c r="J210" t="s">
        <v>29</v>
      </c>
    </row>
    <row r="211" spans="1:10">
      <c r="A211" t="s">
        <v>411</v>
      </c>
      <c r="B211" t="s">
        <v>357</v>
      </c>
      <c r="C211" t="s">
        <v>19</v>
      </c>
      <c r="D211" t="s">
        <v>27</v>
      </c>
      <c r="E211" t="s">
        <v>106</v>
      </c>
      <c r="F211" t="s">
        <v>22</v>
      </c>
      <c r="G211">
        <v>1</v>
      </c>
      <c r="H211">
        <v>2395.9</v>
      </c>
      <c r="I211">
        <v>244.29</v>
      </c>
      <c r="J211" t="s">
        <v>34</v>
      </c>
    </row>
    <row r="212" spans="1:10">
      <c r="A212" t="s">
        <v>412</v>
      </c>
      <c r="B212" t="s">
        <v>216</v>
      </c>
      <c r="C212" t="s">
        <v>26</v>
      </c>
      <c r="D212" t="s">
        <v>20</v>
      </c>
      <c r="E212" t="s">
        <v>59</v>
      </c>
      <c r="F212" t="s">
        <v>22</v>
      </c>
      <c r="G212">
        <v>4</v>
      </c>
      <c r="H212">
        <v>114184.42</v>
      </c>
      <c r="I212">
        <v>25511.75</v>
      </c>
      <c r="J212" t="s">
        <v>34</v>
      </c>
    </row>
    <row r="213" spans="1:10">
      <c r="A213" t="s">
        <v>413</v>
      </c>
      <c r="B213" t="s">
        <v>414</v>
      </c>
      <c r="C213" t="s">
        <v>32</v>
      </c>
      <c r="D213" t="s">
        <v>20</v>
      </c>
      <c r="E213" t="s">
        <v>117</v>
      </c>
      <c r="F213" t="s">
        <v>15</v>
      </c>
      <c r="G213">
        <v>2</v>
      </c>
      <c r="H213">
        <v>3875.37</v>
      </c>
      <c r="I213">
        <v>704.94</v>
      </c>
      <c r="J213" t="s">
        <v>16</v>
      </c>
    </row>
    <row r="214" spans="1:10">
      <c r="A214" t="s">
        <v>415</v>
      </c>
      <c r="B214" t="s">
        <v>416</v>
      </c>
      <c r="C214" t="s">
        <v>26</v>
      </c>
      <c r="D214" t="s">
        <v>20</v>
      </c>
      <c r="E214" t="s">
        <v>66</v>
      </c>
      <c r="F214" t="s">
        <v>22</v>
      </c>
      <c r="G214">
        <v>5</v>
      </c>
      <c r="H214">
        <v>56335.86</v>
      </c>
      <c r="I214">
        <v>6713</v>
      </c>
      <c r="J214" t="s">
        <v>29</v>
      </c>
    </row>
    <row r="215" spans="1:10">
      <c r="A215" t="s">
        <v>417</v>
      </c>
      <c r="B215" t="s">
        <v>418</v>
      </c>
      <c r="C215" t="s">
        <v>32</v>
      </c>
      <c r="D215" t="s">
        <v>13</v>
      </c>
      <c r="E215" t="s">
        <v>56</v>
      </c>
      <c r="F215" t="s">
        <v>22</v>
      </c>
      <c r="G215">
        <v>1</v>
      </c>
      <c r="H215">
        <v>4165.8</v>
      </c>
      <c r="I215">
        <v>-188.27</v>
      </c>
      <c r="J215" t="s">
        <v>23</v>
      </c>
    </row>
    <row r="216" spans="1:10">
      <c r="A216" t="s">
        <v>419</v>
      </c>
      <c r="B216" t="s">
        <v>420</v>
      </c>
      <c r="C216" t="s">
        <v>19</v>
      </c>
      <c r="D216" t="s">
        <v>20</v>
      </c>
      <c r="E216" t="s">
        <v>66</v>
      </c>
      <c r="F216" t="s">
        <v>22</v>
      </c>
      <c r="G216">
        <v>5</v>
      </c>
      <c r="H216">
        <v>58816.65</v>
      </c>
      <c r="I216">
        <v>-3852.97</v>
      </c>
      <c r="J216" t="s">
        <v>16</v>
      </c>
    </row>
    <row r="217" spans="1:10">
      <c r="A217" t="s">
        <v>421</v>
      </c>
      <c r="B217" t="s">
        <v>377</v>
      </c>
      <c r="C217" t="s">
        <v>32</v>
      </c>
      <c r="D217" t="s">
        <v>13</v>
      </c>
      <c r="E217" t="s">
        <v>37</v>
      </c>
      <c r="F217" t="s">
        <v>15</v>
      </c>
      <c r="G217">
        <v>2</v>
      </c>
      <c r="H217">
        <v>5719.01</v>
      </c>
      <c r="I217">
        <v>603.82000000000005</v>
      </c>
      <c r="J217" t="s">
        <v>16</v>
      </c>
    </row>
    <row r="218" spans="1:10">
      <c r="A218" t="s">
        <v>422</v>
      </c>
      <c r="B218" t="s">
        <v>423</v>
      </c>
      <c r="C218" t="s">
        <v>26</v>
      </c>
      <c r="D218" t="s">
        <v>13</v>
      </c>
      <c r="E218" t="s">
        <v>94</v>
      </c>
      <c r="F218" t="s">
        <v>22</v>
      </c>
      <c r="G218">
        <v>5</v>
      </c>
      <c r="H218">
        <v>6770.92</v>
      </c>
      <c r="I218">
        <v>1477.31</v>
      </c>
      <c r="J218" t="s">
        <v>16</v>
      </c>
    </row>
    <row r="219" spans="1:10">
      <c r="A219" t="s">
        <v>424</v>
      </c>
      <c r="B219" t="s">
        <v>91</v>
      </c>
      <c r="C219" t="s">
        <v>32</v>
      </c>
      <c r="D219" t="s">
        <v>20</v>
      </c>
      <c r="E219" t="s">
        <v>59</v>
      </c>
      <c r="F219" t="s">
        <v>15</v>
      </c>
      <c r="G219">
        <v>3</v>
      </c>
      <c r="H219">
        <v>86919.95</v>
      </c>
      <c r="I219">
        <v>23708.57</v>
      </c>
      <c r="J219" t="s">
        <v>16</v>
      </c>
    </row>
    <row r="220" spans="1:10">
      <c r="A220" t="s">
        <v>425</v>
      </c>
      <c r="B220" t="s">
        <v>426</v>
      </c>
      <c r="C220" t="s">
        <v>19</v>
      </c>
      <c r="D220" t="s">
        <v>27</v>
      </c>
      <c r="E220" t="s">
        <v>28</v>
      </c>
      <c r="F220" t="s">
        <v>22</v>
      </c>
      <c r="G220">
        <v>5</v>
      </c>
      <c r="H220">
        <v>8982.33</v>
      </c>
      <c r="I220">
        <v>-552.52</v>
      </c>
      <c r="J220" t="s">
        <v>23</v>
      </c>
    </row>
    <row r="221" spans="1:10">
      <c r="A221" t="s">
        <v>427</v>
      </c>
      <c r="B221" t="s">
        <v>85</v>
      </c>
      <c r="C221" t="s">
        <v>12</v>
      </c>
      <c r="D221" t="s">
        <v>13</v>
      </c>
      <c r="E221" t="s">
        <v>44</v>
      </c>
      <c r="F221" t="s">
        <v>22</v>
      </c>
      <c r="G221">
        <v>1</v>
      </c>
      <c r="H221">
        <v>913.06</v>
      </c>
      <c r="I221">
        <v>157.22</v>
      </c>
      <c r="J221" t="s">
        <v>29</v>
      </c>
    </row>
    <row r="222" spans="1:10">
      <c r="A222" t="s">
        <v>428</v>
      </c>
      <c r="B222" t="s">
        <v>429</v>
      </c>
      <c r="C222" t="s">
        <v>26</v>
      </c>
      <c r="D222" t="s">
        <v>27</v>
      </c>
      <c r="E222" t="s">
        <v>51</v>
      </c>
      <c r="F222" t="s">
        <v>15</v>
      </c>
      <c r="G222">
        <v>4</v>
      </c>
      <c r="H222">
        <v>2906.68</v>
      </c>
      <c r="I222">
        <v>196.89</v>
      </c>
      <c r="J222" t="s">
        <v>23</v>
      </c>
    </row>
    <row r="223" spans="1:10">
      <c r="A223" t="s">
        <v>430</v>
      </c>
      <c r="B223" t="s">
        <v>431</v>
      </c>
      <c r="C223" t="s">
        <v>26</v>
      </c>
      <c r="D223" t="s">
        <v>13</v>
      </c>
      <c r="E223" t="s">
        <v>44</v>
      </c>
      <c r="F223" t="s">
        <v>22</v>
      </c>
      <c r="G223">
        <v>5</v>
      </c>
      <c r="H223">
        <v>4342.54</v>
      </c>
      <c r="I223">
        <v>687.87</v>
      </c>
      <c r="J223" t="s">
        <v>23</v>
      </c>
    </row>
    <row r="224" spans="1:10">
      <c r="A224" t="s">
        <v>432</v>
      </c>
      <c r="B224" t="s">
        <v>433</v>
      </c>
      <c r="C224" t="s">
        <v>32</v>
      </c>
      <c r="D224" t="s">
        <v>27</v>
      </c>
      <c r="E224" t="s">
        <v>28</v>
      </c>
      <c r="F224" t="s">
        <v>22</v>
      </c>
      <c r="G224">
        <v>3</v>
      </c>
      <c r="H224">
        <v>5752.75</v>
      </c>
      <c r="I224">
        <v>939.5</v>
      </c>
      <c r="J224" t="s">
        <v>23</v>
      </c>
    </row>
    <row r="225" spans="1:10">
      <c r="A225" t="s">
        <v>434</v>
      </c>
      <c r="B225" t="s">
        <v>232</v>
      </c>
      <c r="C225" t="s">
        <v>32</v>
      </c>
      <c r="D225" t="s">
        <v>20</v>
      </c>
      <c r="E225" t="s">
        <v>59</v>
      </c>
      <c r="F225" t="s">
        <v>15</v>
      </c>
      <c r="G225">
        <v>5</v>
      </c>
      <c r="H225">
        <v>134357.98000000001</v>
      </c>
      <c r="I225">
        <v>34789.96</v>
      </c>
      <c r="J225" t="s">
        <v>16</v>
      </c>
    </row>
    <row r="226" spans="1:10">
      <c r="A226" t="s">
        <v>435</v>
      </c>
      <c r="B226" t="s">
        <v>285</v>
      </c>
      <c r="C226" t="s">
        <v>32</v>
      </c>
      <c r="D226" t="s">
        <v>27</v>
      </c>
      <c r="E226" t="s">
        <v>41</v>
      </c>
      <c r="F226" t="s">
        <v>15</v>
      </c>
      <c r="G226">
        <v>3</v>
      </c>
      <c r="H226">
        <v>10627.02</v>
      </c>
      <c r="I226">
        <v>2724.92</v>
      </c>
      <c r="J226" t="s">
        <v>16</v>
      </c>
    </row>
    <row r="227" spans="1:10">
      <c r="A227" t="s">
        <v>436</v>
      </c>
      <c r="B227" t="s">
        <v>36</v>
      </c>
      <c r="C227" t="s">
        <v>32</v>
      </c>
      <c r="D227" t="s">
        <v>27</v>
      </c>
      <c r="E227" t="s">
        <v>130</v>
      </c>
      <c r="F227" t="s">
        <v>22</v>
      </c>
      <c r="G227">
        <v>2</v>
      </c>
      <c r="H227">
        <v>3065.89</v>
      </c>
      <c r="I227">
        <v>72.19</v>
      </c>
      <c r="J227" t="s">
        <v>29</v>
      </c>
    </row>
    <row r="228" spans="1:10">
      <c r="A228" t="s">
        <v>437</v>
      </c>
      <c r="B228" t="s">
        <v>48</v>
      </c>
      <c r="C228" t="s">
        <v>32</v>
      </c>
      <c r="D228" t="s">
        <v>13</v>
      </c>
      <c r="E228" t="s">
        <v>37</v>
      </c>
      <c r="F228" t="s">
        <v>15</v>
      </c>
      <c r="G228">
        <v>2</v>
      </c>
      <c r="H228">
        <v>5266.32</v>
      </c>
      <c r="I228">
        <v>599.77</v>
      </c>
      <c r="J228" t="s">
        <v>34</v>
      </c>
    </row>
    <row r="229" spans="1:10">
      <c r="A229" t="s">
        <v>438</v>
      </c>
      <c r="B229" t="s">
        <v>439</v>
      </c>
      <c r="C229" t="s">
        <v>19</v>
      </c>
      <c r="D229" t="s">
        <v>13</v>
      </c>
      <c r="E229" t="s">
        <v>56</v>
      </c>
      <c r="F229" t="s">
        <v>15</v>
      </c>
      <c r="G229">
        <v>2</v>
      </c>
      <c r="H229">
        <v>8536.42</v>
      </c>
      <c r="I229">
        <v>1375.56</v>
      </c>
      <c r="J229" t="s">
        <v>34</v>
      </c>
    </row>
    <row r="230" spans="1:10">
      <c r="A230" t="s">
        <v>440</v>
      </c>
      <c r="B230" t="s">
        <v>441</v>
      </c>
      <c r="C230" t="s">
        <v>12</v>
      </c>
      <c r="D230" t="s">
        <v>20</v>
      </c>
      <c r="E230" t="s">
        <v>117</v>
      </c>
      <c r="F230" t="s">
        <v>15</v>
      </c>
      <c r="G230">
        <v>3</v>
      </c>
      <c r="H230">
        <v>5634.75</v>
      </c>
      <c r="I230">
        <v>-246.82</v>
      </c>
      <c r="J230" t="s">
        <v>16</v>
      </c>
    </row>
    <row r="231" spans="1:10">
      <c r="A231" t="s">
        <v>442</v>
      </c>
      <c r="B231" t="s">
        <v>206</v>
      </c>
      <c r="C231" t="s">
        <v>32</v>
      </c>
      <c r="D231" t="s">
        <v>13</v>
      </c>
      <c r="E231" t="s">
        <v>37</v>
      </c>
      <c r="F231" t="s">
        <v>22</v>
      </c>
      <c r="G231">
        <v>4</v>
      </c>
      <c r="H231">
        <v>11537.21</v>
      </c>
      <c r="I231">
        <v>2216.62</v>
      </c>
      <c r="J231" t="s">
        <v>34</v>
      </c>
    </row>
    <row r="232" spans="1:10">
      <c r="A232" t="s">
        <v>443</v>
      </c>
      <c r="B232" t="s">
        <v>420</v>
      </c>
      <c r="C232" t="s">
        <v>19</v>
      </c>
      <c r="D232" t="s">
        <v>20</v>
      </c>
      <c r="E232" t="s">
        <v>66</v>
      </c>
      <c r="F232" t="s">
        <v>22</v>
      </c>
      <c r="G232">
        <v>2</v>
      </c>
      <c r="H232">
        <v>24168.73</v>
      </c>
      <c r="I232">
        <v>4358.16</v>
      </c>
      <c r="J232" t="s">
        <v>23</v>
      </c>
    </row>
    <row r="233" spans="1:10">
      <c r="A233" t="s">
        <v>444</v>
      </c>
      <c r="B233" t="s">
        <v>445</v>
      </c>
      <c r="C233" t="s">
        <v>12</v>
      </c>
      <c r="D233" t="s">
        <v>20</v>
      </c>
      <c r="E233" t="s">
        <v>117</v>
      </c>
      <c r="F233" t="s">
        <v>15</v>
      </c>
      <c r="G233">
        <v>4</v>
      </c>
      <c r="H233">
        <v>6748.29</v>
      </c>
      <c r="I233">
        <v>1279.75</v>
      </c>
      <c r="J233" t="s">
        <v>29</v>
      </c>
    </row>
    <row r="234" spans="1:10">
      <c r="A234" t="s">
        <v>446</v>
      </c>
      <c r="B234" t="s">
        <v>274</v>
      </c>
      <c r="C234" t="s">
        <v>26</v>
      </c>
      <c r="D234" t="s">
        <v>13</v>
      </c>
      <c r="E234" t="s">
        <v>56</v>
      </c>
      <c r="F234" t="s">
        <v>15</v>
      </c>
      <c r="G234">
        <v>1</v>
      </c>
      <c r="H234">
        <v>4885.6099999999997</v>
      </c>
      <c r="I234">
        <v>198.43</v>
      </c>
      <c r="J234" t="s">
        <v>16</v>
      </c>
    </row>
    <row r="235" spans="1:10">
      <c r="A235" t="s">
        <v>447</v>
      </c>
      <c r="B235" t="s">
        <v>265</v>
      </c>
      <c r="C235" t="s">
        <v>32</v>
      </c>
      <c r="D235" t="s">
        <v>27</v>
      </c>
      <c r="E235" t="s">
        <v>51</v>
      </c>
      <c r="F235" t="s">
        <v>15</v>
      </c>
      <c r="G235">
        <v>1</v>
      </c>
      <c r="H235">
        <v>676.3</v>
      </c>
      <c r="I235">
        <v>123.9</v>
      </c>
      <c r="J235" t="s">
        <v>34</v>
      </c>
    </row>
    <row r="236" spans="1:10">
      <c r="A236" t="s">
        <v>448</v>
      </c>
      <c r="B236" t="s">
        <v>449</v>
      </c>
      <c r="C236" t="s">
        <v>26</v>
      </c>
      <c r="D236" t="s">
        <v>13</v>
      </c>
      <c r="E236" t="s">
        <v>94</v>
      </c>
      <c r="F236" t="s">
        <v>22</v>
      </c>
      <c r="G236">
        <v>3</v>
      </c>
      <c r="H236">
        <v>4256.9399999999996</v>
      </c>
      <c r="I236">
        <v>819.98</v>
      </c>
      <c r="J236" t="s">
        <v>29</v>
      </c>
    </row>
    <row r="237" spans="1:10">
      <c r="A237" t="s">
        <v>450</v>
      </c>
      <c r="B237" t="s">
        <v>214</v>
      </c>
      <c r="C237" t="s">
        <v>19</v>
      </c>
      <c r="D237" t="s">
        <v>20</v>
      </c>
      <c r="E237" t="s">
        <v>117</v>
      </c>
      <c r="F237" t="s">
        <v>15</v>
      </c>
      <c r="G237">
        <v>1</v>
      </c>
      <c r="H237">
        <v>1686.52</v>
      </c>
      <c r="I237">
        <v>-49.55</v>
      </c>
      <c r="J237" t="s">
        <v>29</v>
      </c>
    </row>
    <row r="238" spans="1:10">
      <c r="A238" t="s">
        <v>451</v>
      </c>
      <c r="B238" t="s">
        <v>452</v>
      </c>
      <c r="C238" t="s">
        <v>12</v>
      </c>
      <c r="D238" t="s">
        <v>27</v>
      </c>
      <c r="E238" t="s">
        <v>51</v>
      </c>
      <c r="F238" t="s">
        <v>22</v>
      </c>
      <c r="G238">
        <v>4</v>
      </c>
      <c r="H238">
        <v>2942.1</v>
      </c>
      <c r="I238">
        <v>775.1</v>
      </c>
      <c r="J238" t="s">
        <v>29</v>
      </c>
    </row>
    <row r="239" spans="1:10">
      <c r="A239" t="s">
        <v>453</v>
      </c>
      <c r="B239" t="s">
        <v>25</v>
      </c>
      <c r="C239" t="s">
        <v>26</v>
      </c>
      <c r="D239" t="s">
        <v>13</v>
      </c>
      <c r="E239" t="s">
        <v>44</v>
      </c>
      <c r="F239" t="s">
        <v>22</v>
      </c>
      <c r="G239">
        <v>1</v>
      </c>
      <c r="H239">
        <v>930.2</v>
      </c>
      <c r="I239">
        <v>81.430000000000007</v>
      </c>
      <c r="J239" t="s">
        <v>34</v>
      </c>
    </row>
    <row r="240" spans="1:10">
      <c r="A240" t="s">
        <v>454</v>
      </c>
      <c r="B240" t="s">
        <v>100</v>
      </c>
      <c r="C240" t="s">
        <v>26</v>
      </c>
      <c r="D240" t="s">
        <v>13</v>
      </c>
      <c r="E240" t="s">
        <v>94</v>
      </c>
      <c r="F240" t="s">
        <v>15</v>
      </c>
      <c r="G240">
        <v>3</v>
      </c>
      <c r="H240">
        <v>4296.29</v>
      </c>
      <c r="I240">
        <v>-4.78</v>
      </c>
      <c r="J240" t="s">
        <v>16</v>
      </c>
    </row>
    <row r="241" spans="1:10">
      <c r="A241" t="s">
        <v>455</v>
      </c>
      <c r="B241" t="s">
        <v>456</v>
      </c>
      <c r="C241" t="s">
        <v>19</v>
      </c>
      <c r="D241" t="s">
        <v>13</v>
      </c>
      <c r="E241" t="s">
        <v>56</v>
      </c>
      <c r="F241" t="s">
        <v>15</v>
      </c>
      <c r="G241">
        <v>3</v>
      </c>
      <c r="H241">
        <v>13272.78</v>
      </c>
      <c r="I241">
        <v>1562.53</v>
      </c>
      <c r="J241" t="s">
        <v>34</v>
      </c>
    </row>
    <row r="242" spans="1:10">
      <c r="A242" t="s">
        <v>457</v>
      </c>
      <c r="B242" t="s">
        <v>158</v>
      </c>
      <c r="C242" t="s">
        <v>12</v>
      </c>
      <c r="D242" t="s">
        <v>13</v>
      </c>
      <c r="E242" t="s">
        <v>37</v>
      </c>
      <c r="F242" t="s">
        <v>15</v>
      </c>
      <c r="G242">
        <v>5</v>
      </c>
      <c r="H242">
        <v>14570.55</v>
      </c>
      <c r="I242">
        <v>-755.96</v>
      </c>
      <c r="J242" t="s">
        <v>23</v>
      </c>
    </row>
    <row r="243" spans="1:10">
      <c r="A243" t="s">
        <v>458</v>
      </c>
      <c r="B243" t="s">
        <v>144</v>
      </c>
      <c r="C243" t="s">
        <v>12</v>
      </c>
      <c r="D243" t="s">
        <v>13</v>
      </c>
      <c r="E243" t="s">
        <v>56</v>
      </c>
      <c r="F243" t="s">
        <v>15</v>
      </c>
      <c r="G243">
        <v>2</v>
      </c>
      <c r="H243">
        <v>8396.17</v>
      </c>
      <c r="I243">
        <v>1911.09</v>
      </c>
      <c r="J243" t="s">
        <v>16</v>
      </c>
    </row>
    <row r="244" spans="1:10">
      <c r="A244" t="s">
        <v>459</v>
      </c>
      <c r="B244" t="s">
        <v>380</v>
      </c>
      <c r="C244" t="s">
        <v>26</v>
      </c>
      <c r="D244" t="s">
        <v>20</v>
      </c>
      <c r="E244" t="s">
        <v>66</v>
      </c>
      <c r="F244" t="s">
        <v>22</v>
      </c>
      <c r="G244">
        <v>4</v>
      </c>
      <c r="H244">
        <v>50963.44</v>
      </c>
      <c r="I244">
        <v>4241.97</v>
      </c>
      <c r="J244" t="s">
        <v>34</v>
      </c>
    </row>
    <row r="245" spans="1:10">
      <c r="A245" t="s">
        <v>460</v>
      </c>
      <c r="B245" t="s">
        <v>83</v>
      </c>
      <c r="C245" t="s">
        <v>19</v>
      </c>
      <c r="D245" t="s">
        <v>13</v>
      </c>
      <c r="E245" t="s">
        <v>37</v>
      </c>
      <c r="F245" t="s">
        <v>15</v>
      </c>
      <c r="G245">
        <v>3</v>
      </c>
      <c r="H245">
        <v>8775.11</v>
      </c>
      <c r="I245">
        <v>548.80999999999995</v>
      </c>
      <c r="J245" t="s">
        <v>34</v>
      </c>
    </row>
    <row r="246" spans="1:10">
      <c r="A246" t="s">
        <v>461</v>
      </c>
      <c r="B246" t="s">
        <v>462</v>
      </c>
      <c r="C246" t="s">
        <v>26</v>
      </c>
      <c r="D246" t="s">
        <v>27</v>
      </c>
      <c r="E246" t="s">
        <v>130</v>
      </c>
      <c r="F246" t="s">
        <v>15</v>
      </c>
      <c r="G246">
        <v>1</v>
      </c>
      <c r="H246">
        <v>1613.17</v>
      </c>
      <c r="I246">
        <v>-94.06</v>
      </c>
      <c r="J246" t="s">
        <v>29</v>
      </c>
    </row>
    <row r="247" spans="1:10">
      <c r="A247" t="s">
        <v>463</v>
      </c>
      <c r="B247" t="s">
        <v>93</v>
      </c>
      <c r="C247" t="s">
        <v>26</v>
      </c>
      <c r="D247" t="s">
        <v>27</v>
      </c>
      <c r="E247" t="s">
        <v>51</v>
      </c>
      <c r="F247" t="s">
        <v>22</v>
      </c>
      <c r="G247">
        <v>2</v>
      </c>
      <c r="H247">
        <v>1474.43</v>
      </c>
      <c r="I247">
        <v>401.34</v>
      </c>
      <c r="J247" t="s">
        <v>16</v>
      </c>
    </row>
    <row r="248" spans="1:10">
      <c r="A248" t="s">
        <v>464</v>
      </c>
      <c r="B248" t="s">
        <v>336</v>
      </c>
      <c r="C248" t="s">
        <v>19</v>
      </c>
      <c r="D248" t="s">
        <v>27</v>
      </c>
      <c r="E248" t="s">
        <v>41</v>
      </c>
      <c r="F248" t="s">
        <v>22</v>
      </c>
      <c r="G248">
        <v>4</v>
      </c>
      <c r="H248">
        <v>12824.7</v>
      </c>
      <c r="I248">
        <v>3425.37</v>
      </c>
      <c r="J248" t="s">
        <v>34</v>
      </c>
    </row>
    <row r="249" spans="1:10">
      <c r="A249" t="s">
        <v>465</v>
      </c>
      <c r="B249" t="s">
        <v>466</v>
      </c>
      <c r="C249" t="s">
        <v>12</v>
      </c>
      <c r="D249" t="s">
        <v>20</v>
      </c>
      <c r="E249" t="s">
        <v>66</v>
      </c>
      <c r="F249" t="s">
        <v>15</v>
      </c>
      <c r="G249">
        <v>4</v>
      </c>
      <c r="H249">
        <v>48276.89</v>
      </c>
      <c r="I249">
        <v>8787.7900000000009</v>
      </c>
      <c r="J249" t="s">
        <v>29</v>
      </c>
    </row>
    <row r="250" spans="1:10">
      <c r="A250" t="s">
        <v>467</v>
      </c>
      <c r="B250" t="s">
        <v>468</v>
      </c>
      <c r="C250" t="s">
        <v>26</v>
      </c>
      <c r="D250" t="s">
        <v>27</v>
      </c>
      <c r="E250" t="s">
        <v>28</v>
      </c>
      <c r="F250" t="s">
        <v>22</v>
      </c>
      <c r="G250">
        <v>4</v>
      </c>
      <c r="H250">
        <v>7648.54</v>
      </c>
      <c r="I250">
        <v>1655.22</v>
      </c>
      <c r="J250" t="s">
        <v>23</v>
      </c>
    </row>
    <row r="251" spans="1:10">
      <c r="A251" t="s">
        <v>469</v>
      </c>
      <c r="B251" t="s">
        <v>282</v>
      </c>
      <c r="C251" t="s">
        <v>12</v>
      </c>
      <c r="D251" t="s">
        <v>27</v>
      </c>
      <c r="E251" t="s">
        <v>51</v>
      </c>
      <c r="F251" t="s">
        <v>15</v>
      </c>
      <c r="G251">
        <v>1</v>
      </c>
      <c r="H251">
        <v>634.51</v>
      </c>
      <c r="I251">
        <v>100.04</v>
      </c>
      <c r="J251" t="s">
        <v>23</v>
      </c>
    </row>
    <row r="252" spans="1:10">
      <c r="A252" t="s">
        <v>470</v>
      </c>
      <c r="B252" t="s">
        <v>471</v>
      </c>
      <c r="C252" t="s">
        <v>12</v>
      </c>
      <c r="D252" t="s">
        <v>20</v>
      </c>
      <c r="E252" t="s">
        <v>21</v>
      </c>
      <c r="F252" t="s">
        <v>15</v>
      </c>
      <c r="G252">
        <v>5</v>
      </c>
      <c r="H252">
        <v>235745.97</v>
      </c>
      <c r="I252">
        <v>31873.46</v>
      </c>
      <c r="J252" t="s">
        <v>34</v>
      </c>
    </row>
    <row r="253" spans="1:10">
      <c r="A253" t="s">
        <v>472</v>
      </c>
      <c r="B253" t="s">
        <v>473</v>
      </c>
      <c r="C253" t="s">
        <v>19</v>
      </c>
      <c r="D253" t="s">
        <v>27</v>
      </c>
      <c r="E253" t="s">
        <v>41</v>
      </c>
      <c r="F253" t="s">
        <v>22</v>
      </c>
      <c r="G253">
        <v>2</v>
      </c>
      <c r="H253">
        <v>7055.66</v>
      </c>
      <c r="I253">
        <v>1351.72</v>
      </c>
      <c r="J253" t="s">
        <v>23</v>
      </c>
    </row>
    <row r="254" spans="1:10">
      <c r="A254" t="s">
        <v>474</v>
      </c>
      <c r="B254" t="s">
        <v>475</v>
      </c>
      <c r="C254" t="s">
        <v>19</v>
      </c>
      <c r="D254" t="s">
        <v>13</v>
      </c>
      <c r="E254" t="s">
        <v>56</v>
      </c>
      <c r="F254" t="s">
        <v>22</v>
      </c>
      <c r="G254">
        <v>3</v>
      </c>
      <c r="H254">
        <v>13709.18</v>
      </c>
      <c r="I254">
        <v>2715.98</v>
      </c>
      <c r="J254" t="s">
        <v>23</v>
      </c>
    </row>
    <row r="255" spans="1:10">
      <c r="A255" t="s">
        <v>476</v>
      </c>
      <c r="B255" t="s">
        <v>477</v>
      </c>
      <c r="C255" t="s">
        <v>19</v>
      </c>
      <c r="D255" t="s">
        <v>13</v>
      </c>
      <c r="E255" t="s">
        <v>56</v>
      </c>
      <c r="F255" t="s">
        <v>22</v>
      </c>
      <c r="G255">
        <v>2</v>
      </c>
      <c r="H255">
        <v>8844.41</v>
      </c>
      <c r="I255">
        <v>168.53</v>
      </c>
      <c r="J255" t="s">
        <v>16</v>
      </c>
    </row>
    <row r="256" spans="1:10">
      <c r="A256" t="s">
        <v>478</v>
      </c>
      <c r="B256" t="s">
        <v>479</v>
      </c>
      <c r="C256" t="s">
        <v>26</v>
      </c>
      <c r="D256" t="s">
        <v>20</v>
      </c>
      <c r="E256" t="s">
        <v>59</v>
      </c>
      <c r="F256" t="s">
        <v>15</v>
      </c>
      <c r="G256">
        <v>4</v>
      </c>
      <c r="H256">
        <v>118402.02</v>
      </c>
      <c r="I256">
        <v>4113.8100000000004</v>
      </c>
      <c r="J256" t="s">
        <v>29</v>
      </c>
    </row>
    <row r="257" spans="1:10">
      <c r="A257" t="s">
        <v>480</v>
      </c>
      <c r="B257" t="s">
        <v>127</v>
      </c>
      <c r="C257" t="s">
        <v>19</v>
      </c>
      <c r="D257" t="s">
        <v>27</v>
      </c>
      <c r="E257" t="s">
        <v>51</v>
      </c>
      <c r="F257" t="s">
        <v>22</v>
      </c>
      <c r="G257">
        <v>5</v>
      </c>
      <c r="H257">
        <v>3481.46</v>
      </c>
      <c r="I257">
        <v>785.98</v>
      </c>
      <c r="J257" t="s">
        <v>34</v>
      </c>
    </row>
    <row r="258" spans="1:10">
      <c r="A258" t="s">
        <v>481</v>
      </c>
      <c r="B258" t="s">
        <v>482</v>
      </c>
      <c r="C258" t="s">
        <v>32</v>
      </c>
      <c r="D258" t="s">
        <v>13</v>
      </c>
      <c r="E258" t="s">
        <v>37</v>
      </c>
      <c r="F258" t="s">
        <v>15</v>
      </c>
      <c r="G258">
        <v>4</v>
      </c>
      <c r="H258">
        <v>11328.32</v>
      </c>
      <c r="I258">
        <v>-359.41</v>
      </c>
      <c r="J258" t="s">
        <v>29</v>
      </c>
    </row>
    <row r="259" spans="1:10">
      <c r="A259" t="s">
        <v>483</v>
      </c>
      <c r="B259" t="s">
        <v>85</v>
      </c>
      <c r="C259" t="s">
        <v>12</v>
      </c>
      <c r="D259" t="s">
        <v>13</v>
      </c>
      <c r="E259" t="s">
        <v>14</v>
      </c>
      <c r="F259" t="s">
        <v>22</v>
      </c>
      <c r="G259">
        <v>4</v>
      </c>
      <c r="H259">
        <v>13688.66</v>
      </c>
      <c r="I259">
        <v>-639.44000000000005</v>
      </c>
      <c r="J259" t="s">
        <v>16</v>
      </c>
    </row>
    <row r="260" spans="1:10">
      <c r="A260" t="s">
        <v>484</v>
      </c>
      <c r="B260" t="s">
        <v>485</v>
      </c>
      <c r="C260" t="s">
        <v>19</v>
      </c>
      <c r="D260" t="s">
        <v>13</v>
      </c>
      <c r="E260" t="s">
        <v>56</v>
      </c>
      <c r="F260" t="s">
        <v>22</v>
      </c>
      <c r="G260">
        <v>5</v>
      </c>
      <c r="H260">
        <v>20427.96</v>
      </c>
      <c r="I260">
        <v>-1098.98</v>
      </c>
      <c r="J260" t="s">
        <v>23</v>
      </c>
    </row>
    <row r="261" spans="1:10">
      <c r="A261" t="s">
        <v>486</v>
      </c>
      <c r="B261" t="s">
        <v>387</v>
      </c>
      <c r="C261" t="s">
        <v>26</v>
      </c>
      <c r="D261" t="s">
        <v>27</v>
      </c>
      <c r="E261" t="s">
        <v>130</v>
      </c>
      <c r="F261" t="s">
        <v>15</v>
      </c>
      <c r="G261">
        <v>1</v>
      </c>
      <c r="H261">
        <v>1507.78</v>
      </c>
      <c r="I261">
        <v>-17.48</v>
      </c>
      <c r="J261" t="s">
        <v>23</v>
      </c>
    </row>
    <row r="262" spans="1:10">
      <c r="A262" t="s">
        <v>487</v>
      </c>
      <c r="B262" t="s">
        <v>248</v>
      </c>
      <c r="C262" t="s">
        <v>32</v>
      </c>
      <c r="D262" t="s">
        <v>27</v>
      </c>
      <c r="E262" t="s">
        <v>51</v>
      </c>
      <c r="F262" t="s">
        <v>22</v>
      </c>
      <c r="G262">
        <v>5</v>
      </c>
      <c r="H262">
        <v>3375.13</v>
      </c>
      <c r="I262">
        <v>73.92</v>
      </c>
      <c r="J262" t="s">
        <v>29</v>
      </c>
    </row>
    <row r="263" spans="1:10">
      <c r="A263" t="s">
        <v>488</v>
      </c>
      <c r="B263" t="s">
        <v>489</v>
      </c>
      <c r="C263" t="s">
        <v>32</v>
      </c>
      <c r="D263" t="s">
        <v>27</v>
      </c>
      <c r="E263" t="s">
        <v>28</v>
      </c>
      <c r="F263" t="s">
        <v>15</v>
      </c>
      <c r="G263">
        <v>4</v>
      </c>
      <c r="H263">
        <v>7548.33</v>
      </c>
      <c r="I263">
        <v>1577.71</v>
      </c>
      <c r="J263" t="s">
        <v>29</v>
      </c>
    </row>
    <row r="264" spans="1:10">
      <c r="A264" t="s">
        <v>490</v>
      </c>
      <c r="B264" t="s">
        <v>491</v>
      </c>
      <c r="C264" t="s">
        <v>12</v>
      </c>
      <c r="D264" t="s">
        <v>27</v>
      </c>
      <c r="E264" t="s">
        <v>41</v>
      </c>
      <c r="F264" t="s">
        <v>22</v>
      </c>
      <c r="G264">
        <v>1</v>
      </c>
      <c r="H264">
        <v>3543.77</v>
      </c>
      <c r="I264">
        <v>-1.21</v>
      </c>
      <c r="J264" t="s">
        <v>16</v>
      </c>
    </row>
    <row r="265" spans="1:10">
      <c r="A265" t="s">
        <v>492</v>
      </c>
      <c r="B265" t="s">
        <v>493</v>
      </c>
      <c r="C265" t="s">
        <v>26</v>
      </c>
      <c r="D265" t="s">
        <v>27</v>
      </c>
      <c r="E265" t="s">
        <v>51</v>
      </c>
      <c r="F265" t="s">
        <v>22</v>
      </c>
      <c r="G265">
        <v>2</v>
      </c>
      <c r="H265">
        <v>1352.36</v>
      </c>
      <c r="I265">
        <v>76.739999999999995</v>
      </c>
      <c r="J265" t="s">
        <v>29</v>
      </c>
    </row>
    <row r="266" spans="1:10">
      <c r="A266" t="s">
        <v>494</v>
      </c>
      <c r="B266" t="s">
        <v>134</v>
      </c>
      <c r="C266" t="s">
        <v>19</v>
      </c>
      <c r="D266" t="s">
        <v>27</v>
      </c>
      <c r="E266" t="s">
        <v>41</v>
      </c>
      <c r="F266" t="s">
        <v>22</v>
      </c>
      <c r="G266">
        <v>4</v>
      </c>
      <c r="H266">
        <v>13071.05</v>
      </c>
      <c r="I266">
        <v>2695.14</v>
      </c>
      <c r="J266" t="s">
        <v>23</v>
      </c>
    </row>
    <row r="267" spans="1:10">
      <c r="A267" t="s">
        <v>495</v>
      </c>
      <c r="B267" t="s">
        <v>496</v>
      </c>
      <c r="C267" t="s">
        <v>12</v>
      </c>
      <c r="D267" t="s">
        <v>13</v>
      </c>
      <c r="E267" t="s">
        <v>14</v>
      </c>
      <c r="F267" t="s">
        <v>15</v>
      </c>
      <c r="G267">
        <v>5</v>
      </c>
      <c r="H267">
        <v>14508.24</v>
      </c>
      <c r="I267">
        <v>3261.61</v>
      </c>
      <c r="J267" t="s">
        <v>16</v>
      </c>
    </row>
    <row r="268" spans="1:10">
      <c r="A268" t="s">
        <v>497</v>
      </c>
      <c r="B268" t="s">
        <v>498</v>
      </c>
      <c r="C268" t="s">
        <v>26</v>
      </c>
      <c r="D268" t="s">
        <v>20</v>
      </c>
      <c r="E268" t="s">
        <v>33</v>
      </c>
      <c r="F268" t="s">
        <v>22</v>
      </c>
      <c r="G268">
        <v>1</v>
      </c>
      <c r="H268">
        <v>2603.58</v>
      </c>
      <c r="I268">
        <v>-199.72</v>
      </c>
      <c r="J268" t="s">
        <v>34</v>
      </c>
    </row>
    <row r="269" spans="1:10">
      <c r="A269" t="s">
        <v>499</v>
      </c>
      <c r="B269" t="s">
        <v>423</v>
      </c>
      <c r="C269" t="s">
        <v>26</v>
      </c>
      <c r="D269" t="s">
        <v>13</v>
      </c>
      <c r="E269" t="s">
        <v>56</v>
      </c>
      <c r="F269" t="s">
        <v>15</v>
      </c>
      <c r="G269">
        <v>4</v>
      </c>
      <c r="H269">
        <v>18573.419999999998</v>
      </c>
      <c r="I269">
        <v>-1380.68</v>
      </c>
      <c r="J269" t="s">
        <v>34</v>
      </c>
    </row>
    <row r="270" spans="1:10">
      <c r="A270" t="s">
        <v>500</v>
      </c>
      <c r="B270" t="s">
        <v>501</v>
      </c>
      <c r="C270" t="s">
        <v>26</v>
      </c>
      <c r="D270" t="s">
        <v>13</v>
      </c>
      <c r="E270" t="s">
        <v>94</v>
      </c>
      <c r="F270" t="s">
        <v>15</v>
      </c>
      <c r="G270">
        <v>5</v>
      </c>
      <c r="H270">
        <v>7668.47</v>
      </c>
      <c r="I270">
        <v>-566.15</v>
      </c>
      <c r="J270" t="s">
        <v>34</v>
      </c>
    </row>
    <row r="271" spans="1:10">
      <c r="A271" t="s">
        <v>502</v>
      </c>
      <c r="B271" t="s">
        <v>196</v>
      </c>
      <c r="C271" t="s">
        <v>32</v>
      </c>
      <c r="D271" t="s">
        <v>20</v>
      </c>
      <c r="E271" t="s">
        <v>66</v>
      </c>
      <c r="F271" t="s">
        <v>22</v>
      </c>
      <c r="G271">
        <v>2</v>
      </c>
      <c r="H271">
        <v>22756.65</v>
      </c>
      <c r="I271">
        <v>3256.96</v>
      </c>
      <c r="J271" t="s">
        <v>16</v>
      </c>
    </row>
    <row r="272" spans="1:10">
      <c r="A272" t="s">
        <v>503</v>
      </c>
      <c r="B272" t="s">
        <v>268</v>
      </c>
      <c r="C272" t="s">
        <v>19</v>
      </c>
      <c r="D272" t="s">
        <v>20</v>
      </c>
      <c r="E272" t="s">
        <v>59</v>
      </c>
      <c r="F272" t="s">
        <v>22</v>
      </c>
      <c r="G272">
        <v>4</v>
      </c>
      <c r="H272">
        <v>111081.55</v>
      </c>
      <c r="I272">
        <v>839.2</v>
      </c>
      <c r="J272" t="s">
        <v>34</v>
      </c>
    </row>
    <row r="273" spans="1:12">
      <c r="A273" t="s">
        <v>504</v>
      </c>
      <c r="B273" t="s">
        <v>505</v>
      </c>
      <c r="C273" t="s">
        <v>12</v>
      </c>
      <c r="D273" t="s">
        <v>13</v>
      </c>
      <c r="E273" t="s">
        <v>14</v>
      </c>
      <c r="F273" t="s">
        <v>15</v>
      </c>
      <c r="G273">
        <v>1</v>
      </c>
      <c r="H273">
        <v>3139.38</v>
      </c>
      <c r="I273">
        <v>175.12</v>
      </c>
      <c r="J273" t="s">
        <v>23</v>
      </c>
    </row>
    <row r="274" spans="1:12">
      <c r="A274" t="s">
        <v>506</v>
      </c>
      <c r="B274" t="s">
        <v>289</v>
      </c>
      <c r="C274" t="s">
        <v>12</v>
      </c>
      <c r="D274" t="s">
        <v>20</v>
      </c>
      <c r="E274" t="s">
        <v>117</v>
      </c>
      <c r="F274" t="s">
        <v>15</v>
      </c>
      <c r="G274">
        <v>4</v>
      </c>
      <c r="H274">
        <v>7408.67</v>
      </c>
      <c r="I274">
        <v>290.85000000000002</v>
      </c>
      <c r="J274" t="s">
        <v>23</v>
      </c>
    </row>
    <row r="275" spans="1:12">
      <c r="A275" t="s">
        <v>507</v>
      </c>
      <c r="B275" t="s">
        <v>508</v>
      </c>
      <c r="C275" t="s">
        <v>32</v>
      </c>
      <c r="D275" t="s">
        <v>13</v>
      </c>
      <c r="E275" t="s">
        <v>56</v>
      </c>
      <c r="F275" t="s">
        <v>15</v>
      </c>
      <c r="G275">
        <v>4</v>
      </c>
      <c r="H275">
        <v>17175.939999999999</v>
      </c>
      <c r="I275">
        <v>4340.3100000000004</v>
      </c>
      <c r="J275" t="s">
        <v>23</v>
      </c>
    </row>
    <row r="276" spans="1:12">
      <c r="A276" t="s">
        <v>509</v>
      </c>
      <c r="B276" t="s">
        <v>510</v>
      </c>
      <c r="C276" t="s">
        <v>26</v>
      </c>
      <c r="D276" t="s">
        <v>27</v>
      </c>
      <c r="E276" t="s">
        <v>106</v>
      </c>
      <c r="F276" t="s">
        <v>15</v>
      </c>
      <c r="G276">
        <v>2</v>
      </c>
      <c r="H276">
        <v>4476.59</v>
      </c>
      <c r="I276">
        <v>854.19</v>
      </c>
      <c r="J276" t="s">
        <v>29</v>
      </c>
    </row>
    <row r="277" spans="1:12">
      <c r="A277" t="s">
        <v>511</v>
      </c>
      <c r="B277" t="s">
        <v>512</v>
      </c>
      <c r="C277" t="s">
        <v>32</v>
      </c>
      <c r="D277" t="s">
        <v>20</v>
      </c>
      <c r="E277" t="s">
        <v>66</v>
      </c>
      <c r="F277" t="s">
        <v>22</v>
      </c>
      <c r="G277">
        <v>2</v>
      </c>
      <c r="H277">
        <v>24320.14</v>
      </c>
      <c r="I277">
        <v>5491.47</v>
      </c>
      <c r="J277" t="s">
        <v>23</v>
      </c>
    </row>
    <row r="278" spans="1:12">
      <c r="A278" t="s">
        <v>513</v>
      </c>
      <c r="B278" t="s">
        <v>514</v>
      </c>
      <c r="C278" t="s">
        <v>26</v>
      </c>
      <c r="D278" t="s">
        <v>13</v>
      </c>
      <c r="E278" t="s">
        <v>14</v>
      </c>
      <c r="F278" t="s">
        <v>15</v>
      </c>
      <c r="G278">
        <v>5</v>
      </c>
      <c r="H278">
        <v>16785.46</v>
      </c>
      <c r="I278">
        <v>747.11</v>
      </c>
      <c r="J278" t="s">
        <v>34</v>
      </c>
    </row>
    <row r="279" spans="1:12">
      <c r="A279" t="s">
        <v>515</v>
      </c>
      <c r="B279" t="s">
        <v>377</v>
      </c>
      <c r="C279" t="s">
        <v>12</v>
      </c>
      <c r="D279" t="s">
        <v>27</v>
      </c>
      <c r="E279" t="s">
        <v>28</v>
      </c>
      <c r="F279" t="s">
        <v>22</v>
      </c>
      <c r="G279">
        <v>5</v>
      </c>
      <c r="H279">
        <v>10364.23</v>
      </c>
      <c r="I279">
        <v>651.01</v>
      </c>
      <c r="J279" t="s">
        <v>16</v>
      </c>
    </row>
    <row r="280" spans="1:12">
      <c r="A280" t="s">
        <v>516</v>
      </c>
      <c r="B280" t="s">
        <v>517</v>
      </c>
      <c r="C280" t="s">
        <v>26</v>
      </c>
      <c r="D280" t="s">
        <v>27</v>
      </c>
      <c r="E280" t="s">
        <v>51</v>
      </c>
      <c r="F280" t="s">
        <v>15</v>
      </c>
      <c r="G280">
        <v>3</v>
      </c>
      <c r="H280">
        <v>2122.2800000000002</v>
      </c>
      <c r="I280">
        <v>117.05</v>
      </c>
      <c r="J280" t="s">
        <v>29</v>
      </c>
    </row>
    <row r="281" spans="1:12">
      <c r="A281" t="s">
        <v>518</v>
      </c>
      <c r="B281" t="s">
        <v>519</v>
      </c>
      <c r="C281" t="s">
        <v>19</v>
      </c>
      <c r="D281" t="s">
        <v>20</v>
      </c>
      <c r="E281" t="s">
        <v>21</v>
      </c>
      <c r="F281" t="s">
        <v>22</v>
      </c>
      <c r="G281">
        <v>1</v>
      </c>
      <c r="H281">
        <v>49586.91</v>
      </c>
      <c r="I281">
        <v>2816.54</v>
      </c>
      <c r="J281" t="s">
        <v>29</v>
      </c>
    </row>
    <row r="282" spans="1:12">
      <c r="A282" t="s">
        <v>520</v>
      </c>
      <c r="B282" t="s">
        <v>521</v>
      </c>
      <c r="C282" t="s">
        <v>32</v>
      </c>
      <c r="D282" t="s">
        <v>27</v>
      </c>
      <c r="E282" t="s">
        <v>106</v>
      </c>
      <c r="F282" t="s">
        <v>15</v>
      </c>
      <c r="G282">
        <v>1</v>
      </c>
      <c r="H282">
        <v>1982.29</v>
      </c>
      <c r="I282">
        <v>61.4</v>
      </c>
      <c r="J282" t="s">
        <v>23</v>
      </c>
    </row>
    <row r="283" spans="1:12">
      <c r="A283" t="s">
        <v>522</v>
      </c>
      <c r="B283" t="s">
        <v>114</v>
      </c>
      <c r="C283" t="s">
        <v>12</v>
      </c>
      <c r="D283" t="s">
        <v>20</v>
      </c>
      <c r="E283" t="s">
        <v>33</v>
      </c>
      <c r="F283" t="s">
        <v>15</v>
      </c>
      <c r="G283">
        <v>4</v>
      </c>
      <c r="H283">
        <v>9897.69</v>
      </c>
      <c r="I283">
        <v>1184.82</v>
      </c>
      <c r="J283" t="s">
        <v>34</v>
      </c>
    </row>
    <row r="284" spans="1:12">
      <c r="A284" t="s">
        <v>523</v>
      </c>
      <c r="B284" t="s">
        <v>373</v>
      </c>
      <c r="C284" t="s">
        <v>12</v>
      </c>
      <c r="D284" t="s">
        <v>27</v>
      </c>
      <c r="E284" t="s">
        <v>28</v>
      </c>
      <c r="F284" t="s">
        <v>22</v>
      </c>
      <c r="G284">
        <v>1</v>
      </c>
      <c r="H284">
        <v>1936.83</v>
      </c>
      <c r="I284">
        <v>392.01</v>
      </c>
      <c r="J284" t="s">
        <v>16</v>
      </c>
    </row>
    <row r="285" spans="1:12">
      <c r="A285" t="s">
        <v>524</v>
      </c>
      <c r="B285" t="s">
        <v>73</v>
      </c>
      <c r="C285" t="s">
        <v>19</v>
      </c>
      <c r="D285" t="s">
        <v>27</v>
      </c>
      <c r="E285" t="s">
        <v>106</v>
      </c>
      <c r="F285" t="s">
        <v>22</v>
      </c>
      <c r="G285">
        <v>5</v>
      </c>
      <c r="H285">
        <v>11891.46</v>
      </c>
      <c r="I285">
        <v>3236.17</v>
      </c>
      <c r="J285" t="s">
        <v>23</v>
      </c>
    </row>
    <row r="286" spans="1:12">
      <c r="A286" t="s">
        <v>525</v>
      </c>
      <c r="B286" t="s">
        <v>526</v>
      </c>
      <c r="C286" t="s">
        <v>26</v>
      </c>
      <c r="D286" t="s">
        <v>20</v>
      </c>
      <c r="E286" t="s">
        <v>59</v>
      </c>
      <c r="F286" t="s">
        <v>22</v>
      </c>
      <c r="G286">
        <v>3</v>
      </c>
      <c r="H286">
        <v>80109.23</v>
      </c>
      <c r="I286">
        <v>-2200.08</v>
      </c>
      <c r="J286" t="s">
        <v>16</v>
      </c>
    </row>
    <row r="287" spans="1:12">
      <c r="A287" t="s">
        <v>527</v>
      </c>
      <c r="B287" t="s">
        <v>528</v>
      </c>
      <c r="C287" t="s">
        <v>26</v>
      </c>
      <c r="D287" t="s">
        <v>27</v>
      </c>
      <c r="E287" t="s">
        <v>41</v>
      </c>
      <c r="F287" t="s">
        <v>15</v>
      </c>
      <c r="G287">
        <v>1</v>
      </c>
      <c r="H287">
        <v>3402.79</v>
      </c>
      <c r="I287">
        <v>884.45</v>
      </c>
      <c r="J287" t="s">
        <v>16</v>
      </c>
      <c r="L287" s="1" t="s">
        <v>3</v>
      </c>
    </row>
    <row r="288" spans="1:12">
      <c r="A288" t="s">
        <v>529</v>
      </c>
      <c r="B288" t="s">
        <v>202</v>
      </c>
      <c r="C288" t="s">
        <v>26</v>
      </c>
      <c r="D288" t="s">
        <v>20</v>
      </c>
      <c r="E288" t="s">
        <v>33</v>
      </c>
      <c r="F288" t="s">
        <v>22</v>
      </c>
      <c r="G288">
        <v>3</v>
      </c>
      <c r="H288">
        <v>6760.15</v>
      </c>
      <c r="I288">
        <v>422.17</v>
      </c>
      <c r="J288" t="s">
        <v>16</v>
      </c>
    </row>
    <row r="289" spans="1:10">
      <c r="A289" t="s">
        <v>530</v>
      </c>
      <c r="B289" t="s">
        <v>531</v>
      </c>
      <c r="C289" t="s">
        <v>19</v>
      </c>
      <c r="D289" t="s">
        <v>27</v>
      </c>
      <c r="E289" t="s">
        <v>41</v>
      </c>
      <c r="F289" t="s">
        <v>22</v>
      </c>
      <c r="G289">
        <v>5</v>
      </c>
      <c r="H289">
        <v>16226.44</v>
      </c>
      <c r="I289">
        <v>575.05999999999995</v>
      </c>
      <c r="J289" t="s">
        <v>29</v>
      </c>
    </row>
    <row r="290" spans="1:10">
      <c r="A290" t="s">
        <v>532</v>
      </c>
      <c r="B290" t="s">
        <v>194</v>
      </c>
      <c r="C290" t="s">
        <v>19</v>
      </c>
      <c r="D290" t="s">
        <v>20</v>
      </c>
      <c r="E290" t="s">
        <v>117</v>
      </c>
      <c r="F290" t="s">
        <v>22</v>
      </c>
      <c r="G290">
        <v>3</v>
      </c>
      <c r="H290">
        <v>5174.76</v>
      </c>
      <c r="I290">
        <v>880.67</v>
      </c>
      <c r="J290" t="s">
        <v>16</v>
      </c>
    </row>
    <row r="291" spans="1:10">
      <c r="A291" t="s">
        <v>533</v>
      </c>
      <c r="B291" t="s">
        <v>170</v>
      </c>
      <c r="C291" t="s">
        <v>19</v>
      </c>
      <c r="D291" t="s">
        <v>27</v>
      </c>
      <c r="E291" t="s">
        <v>41</v>
      </c>
      <c r="F291" t="s">
        <v>15</v>
      </c>
      <c r="G291">
        <v>3</v>
      </c>
      <c r="H291">
        <v>9689.16</v>
      </c>
      <c r="I291">
        <v>1191.6300000000001</v>
      </c>
      <c r="J291" t="s">
        <v>16</v>
      </c>
    </row>
    <row r="292" spans="1:10">
      <c r="A292" t="s">
        <v>534</v>
      </c>
      <c r="B292" t="s">
        <v>462</v>
      </c>
      <c r="C292" t="s">
        <v>26</v>
      </c>
      <c r="D292" t="s">
        <v>13</v>
      </c>
      <c r="E292" t="s">
        <v>44</v>
      </c>
      <c r="F292" t="s">
        <v>22</v>
      </c>
      <c r="G292">
        <v>4</v>
      </c>
      <c r="H292">
        <v>3814.33</v>
      </c>
      <c r="I292">
        <v>836.34</v>
      </c>
      <c r="J292" t="s">
        <v>23</v>
      </c>
    </row>
    <row r="293" spans="1:10">
      <c r="A293" t="s">
        <v>535</v>
      </c>
      <c r="B293" t="s">
        <v>75</v>
      </c>
      <c r="C293" t="s">
        <v>26</v>
      </c>
      <c r="D293" t="s">
        <v>13</v>
      </c>
      <c r="E293" t="s">
        <v>94</v>
      </c>
      <c r="F293" t="s">
        <v>15</v>
      </c>
      <c r="G293">
        <v>2</v>
      </c>
      <c r="H293">
        <v>2661.5</v>
      </c>
      <c r="I293">
        <v>-65.23</v>
      </c>
      <c r="J293" t="s">
        <v>16</v>
      </c>
    </row>
    <row r="294" spans="1:10">
      <c r="A294" t="s">
        <v>536</v>
      </c>
      <c r="B294" t="s">
        <v>537</v>
      </c>
      <c r="C294" t="s">
        <v>26</v>
      </c>
      <c r="D294" t="s">
        <v>13</v>
      </c>
      <c r="E294" t="s">
        <v>37</v>
      </c>
      <c r="F294" t="s">
        <v>15</v>
      </c>
      <c r="G294">
        <v>5</v>
      </c>
      <c r="H294">
        <v>13722.25</v>
      </c>
      <c r="I294">
        <v>1404.89</v>
      </c>
      <c r="J294" t="s">
        <v>29</v>
      </c>
    </row>
    <row r="295" spans="1:10">
      <c r="A295" t="s">
        <v>538</v>
      </c>
      <c r="B295" t="s">
        <v>79</v>
      </c>
      <c r="C295" t="s">
        <v>32</v>
      </c>
      <c r="D295" t="s">
        <v>13</v>
      </c>
      <c r="E295" t="s">
        <v>56</v>
      </c>
      <c r="F295" t="s">
        <v>15</v>
      </c>
      <c r="G295">
        <v>5</v>
      </c>
      <c r="H295">
        <v>23121.81</v>
      </c>
      <c r="I295">
        <v>-1142.3699999999999</v>
      </c>
      <c r="J295" t="s">
        <v>34</v>
      </c>
    </row>
    <row r="296" spans="1:10">
      <c r="A296" t="s">
        <v>539</v>
      </c>
      <c r="B296" t="s">
        <v>540</v>
      </c>
      <c r="C296" t="s">
        <v>12</v>
      </c>
      <c r="D296" t="s">
        <v>13</v>
      </c>
      <c r="E296" t="s">
        <v>37</v>
      </c>
      <c r="F296" t="s">
        <v>22</v>
      </c>
      <c r="G296">
        <v>3</v>
      </c>
      <c r="H296">
        <v>9182.4</v>
      </c>
      <c r="I296">
        <v>688.35</v>
      </c>
      <c r="J296" t="s">
        <v>23</v>
      </c>
    </row>
    <row r="297" spans="1:10">
      <c r="A297" t="s">
        <v>541</v>
      </c>
      <c r="B297" t="s">
        <v>542</v>
      </c>
      <c r="C297" t="s">
        <v>32</v>
      </c>
      <c r="D297" t="s">
        <v>13</v>
      </c>
      <c r="E297" t="s">
        <v>56</v>
      </c>
      <c r="F297" t="s">
        <v>22</v>
      </c>
      <c r="G297">
        <v>5</v>
      </c>
      <c r="H297">
        <v>22862.33</v>
      </c>
      <c r="I297">
        <v>2905.45</v>
      </c>
      <c r="J297" t="s">
        <v>16</v>
      </c>
    </row>
    <row r="298" spans="1:10">
      <c r="A298" t="s">
        <v>543</v>
      </c>
      <c r="B298" t="s">
        <v>544</v>
      </c>
      <c r="C298" t="s">
        <v>12</v>
      </c>
      <c r="D298" t="s">
        <v>13</v>
      </c>
      <c r="E298" t="s">
        <v>56</v>
      </c>
      <c r="F298" t="s">
        <v>22</v>
      </c>
      <c r="G298">
        <v>5</v>
      </c>
      <c r="H298">
        <v>20928.349999999999</v>
      </c>
      <c r="I298">
        <v>5842.63</v>
      </c>
      <c r="J298" t="s">
        <v>16</v>
      </c>
    </row>
    <row r="299" spans="1:10">
      <c r="A299" t="s">
        <v>545</v>
      </c>
      <c r="B299" t="s">
        <v>276</v>
      </c>
      <c r="C299" t="s">
        <v>26</v>
      </c>
      <c r="D299" t="s">
        <v>20</v>
      </c>
      <c r="E299" t="s">
        <v>21</v>
      </c>
      <c r="F299" t="s">
        <v>22</v>
      </c>
      <c r="G299">
        <v>2</v>
      </c>
      <c r="H299">
        <v>100845.24</v>
      </c>
      <c r="I299">
        <v>4387.17</v>
      </c>
      <c r="J299" t="s">
        <v>16</v>
      </c>
    </row>
    <row r="300" spans="1:10">
      <c r="A300" t="s">
        <v>546</v>
      </c>
      <c r="B300" t="s">
        <v>547</v>
      </c>
      <c r="C300" t="s">
        <v>12</v>
      </c>
      <c r="D300" t="s">
        <v>20</v>
      </c>
      <c r="E300" t="s">
        <v>117</v>
      </c>
      <c r="F300" t="s">
        <v>15</v>
      </c>
      <c r="G300">
        <v>4</v>
      </c>
      <c r="H300">
        <v>6939.23</v>
      </c>
      <c r="I300">
        <v>194.96</v>
      </c>
      <c r="J300" t="s">
        <v>29</v>
      </c>
    </row>
    <row r="301" spans="1:10">
      <c r="A301" t="s">
        <v>548</v>
      </c>
      <c r="B301" t="s">
        <v>344</v>
      </c>
      <c r="C301" t="s">
        <v>19</v>
      </c>
      <c r="D301" t="s">
        <v>13</v>
      </c>
      <c r="E301" t="s">
        <v>14</v>
      </c>
      <c r="F301" t="s">
        <v>15</v>
      </c>
      <c r="G301">
        <v>2</v>
      </c>
      <c r="H301">
        <v>6950.3</v>
      </c>
      <c r="I301">
        <v>1296.76</v>
      </c>
      <c r="J301" t="s">
        <v>29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1"/>
  <sheetViews>
    <sheetView workbookViewId="0">
      <pane ySplit="1" topLeftCell="A2" activePane="bottomLeft" state="frozen"/>
      <selection pane="bottomLeft" activeCell="A2" sqref="A2:A301"/>
    </sheetView>
  </sheetViews>
  <sheetFormatPr defaultRowHeight="15"/>
  <cols>
    <col min="1" max="3" width="14" customWidth="1"/>
    <col min="4" max="4" width="16" customWidth="1"/>
    <col min="5" max="5" width="20" customWidth="1"/>
    <col min="6" max="6" width="16" customWidth="1"/>
    <col min="7" max="7" width="12" customWidth="1"/>
    <col min="8" max="9" width="14" customWidth="1"/>
    <col min="10" max="10" width="16" customWidth="1"/>
    <col min="11" max="11" width="11.85546875" customWidth="1"/>
    <col min="12" max="12" width="14.42578125" customWidth="1"/>
    <col min="13" max="13" width="12.7109375" customWidth="1"/>
    <col min="14" max="14" width="17.140625" customWidth="1"/>
    <col min="15" max="16" width="18.85546875" customWidth="1"/>
    <col min="17" max="17" width="15.5703125" customWidth="1"/>
    <col min="18" max="18" width="16.140625" customWidth="1"/>
  </cols>
  <sheetData>
    <row r="1" spans="1:19">
      <c r="A1" s="1" t="s">
        <v>0</v>
      </c>
      <c r="B1" s="1" t="s">
        <v>1</v>
      </c>
      <c r="C1" s="1" t="s">
        <v>2</v>
      </c>
      <c r="D1" s="1" t="s">
        <v>3</v>
      </c>
      <c r="E1" s="1" t="s">
        <v>4</v>
      </c>
      <c r="F1" s="1" t="s">
        <v>5</v>
      </c>
      <c r="G1" s="1" t="s">
        <v>6</v>
      </c>
      <c r="H1" s="1" t="s">
        <v>7</v>
      </c>
      <c r="I1" s="1" t="s">
        <v>8</v>
      </c>
      <c r="J1" s="1" t="s">
        <v>9</v>
      </c>
      <c r="K1" s="2" t="s">
        <v>549</v>
      </c>
      <c r="L1" t="s">
        <v>550</v>
      </c>
      <c r="M1" t="s">
        <v>551</v>
      </c>
      <c r="N1" t="s">
        <v>552</v>
      </c>
      <c r="O1" t="s">
        <v>562</v>
      </c>
      <c r="P1" t="s">
        <v>563</v>
      </c>
      <c r="Q1" t="s">
        <v>564</v>
      </c>
      <c r="R1" t="s">
        <v>565</v>
      </c>
    </row>
    <row r="2" spans="1:19">
      <c r="A2" t="s">
        <v>137</v>
      </c>
      <c r="B2" t="s">
        <v>138</v>
      </c>
      <c r="C2" t="s">
        <v>26</v>
      </c>
      <c r="D2" t="s">
        <v>13</v>
      </c>
      <c r="E2" t="s">
        <v>139</v>
      </c>
      <c r="F2" t="s">
        <v>22</v>
      </c>
      <c r="G2">
        <v>4</v>
      </c>
      <c r="H2">
        <v>12580.97</v>
      </c>
      <c r="I2">
        <v>1845.82</v>
      </c>
      <c r="J2" t="s">
        <v>16</v>
      </c>
      <c r="K2" t="str">
        <f>PROPER(TRIM(C2))</f>
        <v>West</v>
      </c>
      <c r="L2" t="str">
        <f>PROPER(TRIM(D2))</f>
        <v>Home</v>
      </c>
      <c r="M2" t="str">
        <f>PROPER(TRIM(E2))</f>
        <v>Blender</v>
      </c>
      <c r="N2" t="str">
        <f>IF(OR(H2="",I2="",J2="",F2=""),"Review","OK")</f>
        <v>OK</v>
      </c>
      <c r="O2" t="str">
        <f>IF(TRIM(F2)="","Review",PROPER(TRIM(F2)))</f>
        <v>Existing</v>
      </c>
      <c r="P2" t="str">
        <f>IF(TRIM(J2)="","Review",PROPER(TRIM(J2)))</f>
        <v>Net Banking</v>
      </c>
      <c r="Q2">
        <f>IF(H2="","",H2)</f>
        <v>12580.97</v>
      </c>
      <c r="R2">
        <f>IF(I2="","",I2)</f>
        <v>1845.82</v>
      </c>
      <c r="S2">
        <f>COUNTBLANK(Q2:Q301)</f>
        <v>1</v>
      </c>
    </row>
    <row r="3" spans="1:19">
      <c r="A3" t="s">
        <v>345</v>
      </c>
      <c r="B3" t="s">
        <v>346</v>
      </c>
      <c r="C3" t="s">
        <v>12</v>
      </c>
      <c r="D3" t="s">
        <v>20</v>
      </c>
      <c r="E3" t="s">
        <v>347</v>
      </c>
      <c r="F3" t="s">
        <v>15</v>
      </c>
      <c r="G3">
        <v>4</v>
      </c>
      <c r="H3">
        <v>121078.86</v>
      </c>
      <c r="I3">
        <v>-3263.62</v>
      </c>
      <c r="J3" t="s">
        <v>16</v>
      </c>
      <c r="K3" t="str">
        <f t="shared" ref="K3:K66" si="0">PROPER(TRIM(C3))</f>
        <v>North</v>
      </c>
      <c r="L3" t="str">
        <f t="shared" ref="L3:L66" si="1">PROPER(TRIM(D3))</f>
        <v>Electronics</v>
      </c>
      <c r="M3" t="str">
        <f t="shared" ref="M3:M66" si="2">PROPER(TRIM(E3))</f>
        <v>Smartphone</v>
      </c>
      <c r="N3" t="str">
        <f t="shared" ref="N3:N66" si="3">IF(OR(H3="",I3="",J3="",F3=""),"Review","OK")</f>
        <v>OK</v>
      </c>
      <c r="O3" t="str">
        <f t="shared" ref="O3:O66" si="4">IF(TRIM(F3)="","Review",PROPER(TRIM(F3)))</f>
        <v>New</v>
      </c>
      <c r="P3" t="str">
        <f t="shared" ref="P3:P66" si="5">IF(TRIM(J3)="","Review",PROPER(TRIM(J3)))</f>
        <v>Net Banking</v>
      </c>
      <c r="Q3">
        <f t="shared" ref="Q3:Q66" si="6">IF(H3="","",H3)</f>
        <v>121078.86</v>
      </c>
      <c r="R3">
        <f t="shared" ref="R3:R66" si="7">IF(I3="","",I3)</f>
        <v>-3263.62</v>
      </c>
      <c r="S3">
        <f>COUNTBLANK(R2:R301)</f>
        <v>1</v>
      </c>
    </row>
    <row r="4" spans="1:19">
      <c r="A4" t="s">
        <v>92</v>
      </c>
      <c r="B4" t="s">
        <v>93</v>
      </c>
      <c r="C4" t="s">
        <v>32</v>
      </c>
      <c r="D4" t="s">
        <v>13</v>
      </c>
      <c r="E4" t="s">
        <v>94</v>
      </c>
      <c r="F4" t="s">
        <v>22</v>
      </c>
      <c r="G4">
        <v>2</v>
      </c>
      <c r="H4">
        <v>2668.74</v>
      </c>
      <c r="I4">
        <v>-87.76</v>
      </c>
      <c r="J4" t="s">
        <v>29</v>
      </c>
      <c r="K4" t="str">
        <f t="shared" si="0"/>
        <v>East</v>
      </c>
      <c r="L4" t="str">
        <f t="shared" si="1"/>
        <v>Home</v>
      </c>
      <c r="M4" t="str">
        <f t="shared" si="2"/>
        <v>Bedsheet</v>
      </c>
      <c r="N4" t="str">
        <f t="shared" si="3"/>
        <v>OK</v>
      </c>
      <c r="O4" t="str">
        <f t="shared" si="4"/>
        <v>Existing</v>
      </c>
      <c r="P4" t="str">
        <f t="shared" si="5"/>
        <v>Cash</v>
      </c>
      <c r="Q4">
        <f t="shared" si="6"/>
        <v>2668.74</v>
      </c>
      <c r="R4">
        <f t="shared" si="7"/>
        <v>-87.76</v>
      </c>
      <c r="S4">
        <f>COUNTIF(K2:K301,"North")+COUNTIF(K2:K301,"South")+COUNTIF(K2:K301,"East")+COUNTIF(K2:K301,"West")</f>
        <v>300</v>
      </c>
    </row>
    <row r="5" spans="1:19">
      <c r="A5" t="s">
        <v>247</v>
      </c>
      <c r="B5" t="s">
        <v>248</v>
      </c>
      <c r="C5" t="s">
        <v>32</v>
      </c>
      <c r="D5" t="s">
        <v>13</v>
      </c>
      <c r="E5" t="s">
        <v>94</v>
      </c>
      <c r="F5" t="s">
        <v>15</v>
      </c>
      <c r="G5">
        <v>4</v>
      </c>
      <c r="H5">
        <v>5325.97</v>
      </c>
      <c r="I5">
        <v>-408.06</v>
      </c>
      <c r="J5" t="s">
        <v>34</v>
      </c>
      <c r="K5" t="str">
        <f t="shared" si="0"/>
        <v>East</v>
      </c>
      <c r="L5" t="str">
        <f t="shared" si="1"/>
        <v>Home</v>
      </c>
      <c r="M5" t="str">
        <f t="shared" si="2"/>
        <v>Bedsheet</v>
      </c>
      <c r="N5" t="str">
        <f t="shared" si="3"/>
        <v>OK</v>
      </c>
      <c r="O5" t="str">
        <f t="shared" si="4"/>
        <v>New</v>
      </c>
      <c r="P5" t="str">
        <f t="shared" si="5"/>
        <v>Upi</v>
      </c>
      <c r="Q5">
        <f t="shared" si="6"/>
        <v>5325.97</v>
      </c>
      <c r="R5">
        <f t="shared" si="7"/>
        <v>-408.06</v>
      </c>
      <c r="S5">
        <f>COUNTIF(L2:L301,"Electronics")+COUNTIF(L2:L301,"Clothing")+COUNTIF(L2:L301,"Home")</f>
        <v>300</v>
      </c>
    </row>
    <row r="6" spans="1:19">
      <c r="A6" t="s">
        <v>397</v>
      </c>
      <c r="B6" t="s">
        <v>110</v>
      </c>
      <c r="C6" t="s">
        <v>32</v>
      </c>
      <c r="D6" t="s">
        <v>13</v>
      </c>
      <c r="E6" t="s">
        <v>94</v>
      </c>
      <c r="F6" t="s">
        <v>15</v>
      </c>
      <c r="G6">
        <v>1</v>
      </c>
      <c r="H6">
        <v>1330.17</v>
      </c>
      <c r="J6" t="s">
        <v>29</v>
      </c>
      <c r="K6" t="str">
        <f t="shared" si="0"/>
        <v>East</v>
      </c>
      <c r="L6" t="str">
        <f t="shared" si="1"/>
        <v>Home</v>
      </c>
      <c r="M6" t="str">
        <f t="shared" si="2"/>
        <v>Bedsheet</v>
      </c>
      <c r="N6" t="str">
        <f t="shared" si="3"/>
        <v>Review</v>
      </c>
      <c r="O6" t="str">
        <f t="shared" si="4"/>
        <v>New</v>
      </c>
      <c r="P6" t="str">
        <f t="shared" si="5"/>
        <v>Cash</v>
      </c>
      <c r="Q6">
        <f t="shared" si="6"/>
        <v>1330.17</v>
      </c>
      <c r="R6" t="str">
        <f t="shared" si="7"/>
        <v/>
      </c>
      <c r="S6">
        <f>COUNTIF(N2:N301,"Review")</f>
        <v>4</v>
      </c>
    </row>
    <row r="7" spans="1:19">
      <c r="A7" t="s">
        <v>107</v>
      </c>
      <c r="B7" t="s">
        <v>108</v>
      </c>
      <c r="C7" t="s">
        <v>12</v>
      </c>
      <c r="D7" t="s">
        <v>13</v>
      </c>
      <c r="E7" t="s">
        <v>94</v>
      </c>
      <c r="F7" t="s">
        <v>15</v>
      </c>
      <c r="G7">
        <v>2</v>
      </c>
      <c r="H7">
        <v>2935.09</v>
      </c>
      <c r="I7">
        <v>348.12</v>
      </c>
      <c r="J7" t="s">
        <v>34</v>
      </c>
      <c r="K7" t="str">
        <f t="shared" si="0"/>
        <v>North</v>
      </c>
      <c r="L7" t="str">
        <f t="shared" si="1"/>
        <v>Home</v>
      </c>
      <c r="M7" t="str">
        <f t="shared" si="2"/>
        <v>Bedsheet</v>
      </c>
      <c r="N7" t="str">
        <f t="shared" si="3"/>
        <v>OK</v>
      </c>
      <c r="O7" t="str">
        <f t="shared" si="4"/>
        <v>New</v>
      </c>
      <c r="P7" t="str">
        <f t="shared" si="5"/>
        <v>Upi</v>
      </c>
      <c r="Q7">
        <f t="shared" si="6"/>
        <v>2935.09</v>
      </c>
      <c r="R7">
        <f t="shared" si="7"/>
        <v>348.12</v>
      </c>
    </row>
    <row r="8" spans="1:19">
      <c r="A8" t="s">
        <v>260</v>
      </c>
      <c r="B8" t="s">
        <v>261</v>
      </c>
      <c r="C8" t="s">
        <v>12</v>
      </c>
      <c r="D8" t="s">
        <v>13</v>
      </c>
      <c r="E8" t="s">
        <v>94</v>
      </c>
      <c r="F8" t="s">
        <v>22</v>
      </c>
      <c r="G8">
        <v>1</v>
      </c>
      <c r="H8">
        <v>1481.39</v>
      </c>
      <c r="I8">
        <v>-111.09</v>
      </c>
      <c r="J8" t="s">
        <v>29</v>
      </c>
      <c r="K8" t="str">
        <f t="shared" si="0"/>
        <v>North</v>
      </c>
      <c r="L8" t="str">
        <f t="shared" si="1"/>
        <v>Home</v>
      </c>
      <c r="M8" t="str">
        <f t="shared" si="2"/>
        <v>Bedsheet</v>
      </c>
      <c r="N8" t="str">
        <f t="shared" si="3"/>
        <v>OK</v>
      </c>
      <c r="O8" t="str">
        <f t="shared" si="4"/>
        <v>Existing</v>
      </c>
      <c r="P8" t="str">
        <f t="shared" si="5"/>
        <v>Cash</v>
      </c>
      <c r="Q8">
        <f t="shared" si="6"/>
        <v>1481.39</v>
      </c>
      <c r="R8">
        <f t="shared" si="7"/>
        <v>-111.09</v>
      </c>
    </row>
    <row r="9" spans="1:19">
      <c r="A9" t="s">
        <v>262</v>
      </c>
      <c r="B9" t="s">
        <v>263</v>
      </c>
      <c r="C9" t="s">
        <v>12</v>
      </c>
      <c r="D9" t="s">
        <v>13</v>
      </c>
      <c r="E9" t="s">
        <v>94</v>
      </c>
      <c r="F9" t="s">
        <v>15</v>
      </c>
      <c r="G9">
        <v>5</v>
      </c>
      <c r="H9">
        <v>6833.44</v>
      </c>
      <c r="I9">
        <v>1024.18</v>
      </c>
      <c r="J9" t="s">
        <v>16</v>
      </c>
      <c r="K9" t="str">
        <f t="shared" si="0"/>
        <v>North</v>
      </c>
      <c r="L9" t="str">
        <f t="shared" si="1"/>
        <v>Home</v>
      </c>
      <c r="M9" t="str">
        <f t="shared" si="2"/>
        <v>Bedsheet</v>
      </c>
      <c r="N9" t="str">
        <f t="shared" si="3"/>
        <v>OK</v>
      </c>
      <c r="O9" t="str">
        <f t="shared" si="4"/>
        <v>New</v>
      </c>
      <c r="P9" t="str">
        <f t="shared" si="5"/>
        <v>Net Banking</v>
      </c>
      <c r="Q9">
        <f t="shared" si="6"/>
        <v>6833.44</v>
      </c>
      <c r="R9">
        <f t="shared" si="7"/>
        <v>1024.18</v>
      </c>
    </row>
    <row r="10" spans="1:19">
      <c r="A10" t="s">
        <v>290</v>
      </c>
      <c r="B10" t="s">
        <v>291</v>
      </c>
      <c r="C10" t="s">
        <v>12</v>
      </c>
      <c r="D10" t="s">
        <v>13</v>
      </c>
      <c r="E10" t="s">
        <v>94</v>
      </c>
      <c r="F10" t="s">
        <v>15</v>
      </c>
      <c r="G10">
        <v>3</v>
      </c>
      <c r="I10">
        <v>766.2</v>
      </c>
      <c r="J10" t="s">
        <v>34</v>
      </c>
      <c r="K10" t="str">
        <f t="shared" si="0"/>
        <v>North</v>
      </c>
      <c r="L10" t="str">
        <f t="shared" si="1"/>
        <v>Home</v>
      </c>
      <c r="M10" t="str">
        <f t="shared" si="2"/>
        <v>Bedsheet</v>
      </c>
      <c r="N10" t="str">
        <f t="shared" si="3"/>
        <v>Review</v>
      </c>
      <c r="O10" t="str">
        <f t="shared" si="4"/>
        <v>New</v>
      </c>
      <c r="P10" t="str">
        <f t="shared" si="5"/>
        <v>Upi</v>
      </c>
      <c r="Q10" t="str">
        <f t="shared" si="6"/>
        <v/>
      </c>
      <c r="R10">
        <f t="shared" si="7"/>
        <v>766.2</v>
      </c>
    </row>
    <row r="11" spans="1:19">
      <c r="A11" t="s">
        <v>313</v>
      </c>
      <c r="B11" t="s">
        <v>314</v>
      </c>
      <c r="C11" t="s">
        <v>12</v>
      </c>
      <c r="D11" t="s">
        <v>13</v>
      </c>
      <c r="E11" t="s">
        <v>94</v>
      </c>
      <c r="F11" t="s">
        <v>15</v>
      </c>
      <c r="G11">
        <v>2</v>
      </c>
      <c r="H11">
        <v>2706.52</v>
      </c>
      <c r="I11">
        <v>-52.7</v>
      </c>
      <c r="J11" t="s">
        <v>29</v>
      </c>
      <c r="K11" t="str">
        <f t="shared" si="0"/>
        <v>North</v>
      </c>
      <c r="L11" t="str">
        <f t="shared" si="1"/>
        <v>Home</v>
      </c>
      <c r="M11" t="str">
        <f t="shared" si="2"/>
        <v>Bedsheet</v>
      </c>
      <c r="N11" t="str">
        <f t="shared" si="3"/>
        <v>OK</v>
      </c>
      <c r="O11" t="str">
        <f t="shared" si="4"/>
        <v>New</v>
      </c>
      <c r="P11" t="str">
        <f t="shared" si="5"/>
        <v>Cash</v>
      </c>
      <c r="Q11">
        <f t="shared" si="6"/>
        <v>2706.52</v>
      </c>
      <c r="R11">
        <f t="shared" si="7"/>
        <v>-52.7</v>
      </c>
    </row>
    <row r="12" spans="1:19">
      <c r="A12" t="s">
        <v>253</v>
      </c>
      <c r="B12" t="s">
        <v>156</v>
      </c>
      <c r="C12" t="s">
        <v>19</v>
      </c>
      <c r="D12" t="s">
        <v>13</v>
      </c>
      <c r="E12" t="s">
        <v>94</v>
      </c>
      <c r="F12" t="s">
        <v>15</v>
      </c>
      <c r="G12">
        <v>2</v>
      </c>
      <c r="H12">
        <v>2876.51</v>
      </c>
      <c r="I12">
        <v>412.84</v>
      </c>
      <c r="J12" t="s">
        <v>34</v>
      </c>
      <c r="K12" t="str">
        <f t="shared" si="0"/>
        <v>South</v>
      </c>
      <c r="L12" t="str">
        <f t="shared" si="1"/>
        <v>Home</v>
      </c>
      <c r="M12" t="str">
        <f t="shared" si="2"/>
        <v>Bedsheet</v>
      </c>
      <c r="N12" t="str">
        <f t="shared" si="3"/>
        <v>OK</v>
      </c>
      <c r="O12" t="str">
        <f t="shared" si="4"/>
        <v>New</v>
      </c>
      <c r="P12" t="str">
        <f t="shared" si="5"/>
        <v>Upi</v>
      </c>
      <c r="Q12">
        <f t="shared" si="6"/>
        <v>2876.51</v>
      </c>
      <c r="R12">
        <f t="shared" si="7"/>
        <v>412.84</v>
      </c>
    </row>
    <row r="13" spans="1:19">
      <c r="A13" t="s">
        <v>364</v>
      </c>
      <c r="B13" t="s">
        <v>365</v>
      </c>
      <c r="C13" t="s">
        <v>19</v>
      </c>
      <c r="D13" t="s">
        <v>13</v>
      </c>
      <c r="E13" t="s">
        <v>94</v>
      </c>
      <c r="F13" t="s">
        <v>22</v>
      </c>
      <c r="G13">
        <v>2</v>
      </c>
      <c r="H13">
        <v>2544.83</v>
      </c>
      <c r="I13">
        <v>296.64</v>
      </c>
      <c r="J13" t="s">
        <v>16</v>
      </c>
      <c r="K13" t="str">
        <f t="shared" si="0"/>
        <v>South</v>
      </c>
      <c r="L13" t="str">
        <f t="shared" si="1"/>
        <v>Home</v>
      </c>
      <c r="M13" t="str">
        <f t="shared" si="2"/>
        <v>Bedsheet</v>
      </c>
      <c r="N13" t="str">
        <f t="shared" si="3"/>
        <v>OK</v>
      </c>
      <c r="O13" t="str">
        <f t="shared" si="4"/>
        <v>Existing</v>
      </c>
      <c r="P13" t="str">
        <f t="shared" si="5"/>
        <v>Net Banking</v>
      </c>
      <c r="Q13">
        <f t="shared" si="6"/>
        <v>2544.83</v>
      </c>
      <c r="R13">
        <f t="shared" si="7"/>
        <v>296.64</v>
      </c>
    </row>
    <row r="14" spans="1:19">
      <c r="A14" t="s">
        <v>422</v>
      </c>
      <c r="B14" t="s">
        <v>423</v>
      </c>
      <c r="C14" t="s">
        <v>26</v>
      </c>
      <c r="D14" t="s">
        <v>13</v>
      </c>
      <c r="E14" t="s">
        <v>94</v>
      </c>
      <c r="F14" t="s">
        <v>22</v>
      </c>
      <c r="G14">
        <v>5</v>
      </c>
      <c r="H14">
        <v>6770.92</v>
      </c>
      <c r="I14">
        <v>1477.31</v>
      </c>
      <c r="J14" t="s">
        <v>16</v>
      </c>
      <c r="K14" t="str">
        <f t="shared" si="0"/>
        <v>West</v>
      </c>
      <c r="L14" t="str">
        <f t="shared" si="1"/>
        <v>Home</v>
      </c>
      <c r="M14" t="str">
        <f t="shared" si="2"/>
        <v>Bedsheet</v>
      </c>
      <c r="N14" t="str">
        <f t="shared" si="3"/>
        <v>OK</v>
      </c>
      <c r="O14" t="str">
        <f t="shared" si="4"/>
        <v>Existing</v>
      </c>
      <c r="P14" t="str">
        <f t="shared" si="5"/>
        <v>Net Banking</v>
      </c>
      <c r="Q14">
        <f t="shared" si="6"/>
        <v>6770.92</v>
      </c>
      <c r="R14">
        <f t="shared" si="7"/>
        <v>1477.31</v>
      </c>
    </row>
    <row r="15" spans="1:19">
      <c r="A15" t="s">
        <v>448</v>
      </c>
      <c r="B15" t="s">
        <v>449</v>
      </c>
      <c r="C15" t="s">
        <v>26</v>
      </c>
      <c r="D15" t="s">
        <v>13</v>
      </c>
      <c r="E15" t="s">
        <v>94</v>
      </c>
      <c r="F15" t="s">
        <v>22</v>
      </c>
      <c r="G15">
        <v>3</v>
      </c>
      <c r="H15">
        <v>4256.9399999999996</v>
      </c>
      <c r="I15">
        <v>819.98</v>
      </c>
      <c r="J15" t="s">
        <v>29</v>
      </c>
      <c r="K15" t="str">
        <f t="shared" si="0"/>
        <v>West</v>
      </c>
      <c r="L15" t="str">
        <f t="shared" si="1"/>
        <v>Home</v>
      </c>
      <c r="M15" t="str">
        <f t="shared" si="2"/>
        <v>Bedsheet</v>
      </c>
      <c r="N15" t="str">
        <f t="shared" si="3"/>
        <v>OK</v>
      </c>
      <c r="O15" t="str">
        <f t="shared" si="4"/>
        <v>Existing</v>
      </c>
      <c r="P15" t="str">
        <f t="shared" si="5"/>
        <v>Cash</v>
      </c>
      <c r="Q15">
        <f t="shared" si="6"/>
        <v>4256.9399999999996</v>
      </c>
      <c r="R15">
        <f t="shared" si="7"/>
        <v>819.98</v>
      </c>
    </row>
    <row r="16" spans="1:19">
      <c r="A16" t="s">
        <v>454</v>
      </c>
      <c r="B16" t="s">
        <v>100</v>
      </c>
      <c r="C16" t="s">
        <v>26</v>
      </c>
      <c r="D16" t="s">
        <v>13</v>
      </c>
      <c r="E16" t="s">
        <v>94</v>
      </c>
      <c r="F16" t="s">
        <v>15</v>
      </c>
      <c r="G16">
        <v>3</v>
      </c>
      <c r="H16">
        <v>4296.29</v>
      </c>
      <c r="I16">
        <v>-4.78</v>
      </c>
      <c r="J16" t="s">
        <v>16</v>
      </c>
      <c r="K16" t="str">
        <f t="shared" si="0"/>
        <v>West</v>
      </c>
      <c r="L16" t="str">
        <f t="shared" si="1"/>
        <v>Home</v>
      </c>
      <c r="M16" t="str">
        <f t="shared" si="2"/>
        <v>Bedsheet</v>
      </c>
      <c r="N16" t="str">
        <f t="shared" si="3"/>
        <v>OK</v>
      </c>
      <c r="O16" t="str">
        <f t="shared" si="4"/>
        <v>New</v>
      </c>
      <c r="P16" t="str">
        <f t="shared" si="5"/>
        <v>Net Banking</v>
      </c>
      <c r="Q16">
        <f t="shared" si="6"/>
        <v>4296.29</v>
      </c>
      <c r="R16">
        <f t="shared" si="7"/>
        <v>-4.78</v>
      </c>
    </row>
    <row r="17" spans="1:18">
      <c r="A17" t="s">
        <v>500</v>
      </c>
      <c r="B17" t="s">
        <v>501</v>
      </c>
      <c r="C17" t="s">
        <v>26</v>
      </c>
      <c r="D17" t="s">
        <v>13</v>
      </c>
      <c r="E17" t="s">
        <v>94</v>
      </c>
      <c r="F17" t="s">
        <v>15</v>
      </c>
      <c r="G17">
        <v>5</v>
      </c>
      <c r="H17">
        <v>7668.47</v>
      </c>
      <c r="I17">
        <v>-566.15</v>
      </c>
      <c r="J17" t="s">
        <v>34</v>
      </c>
      <c r="K17" t="str">
        <f t="shared" si="0"/>
        <v>West</v>
      </c>
      <c r="L17" t="str">
        <f t="shared" si="1"/>
        <v>Home</v>
      </c>
      <c r="M17" t="str">
        <f t="shared" si="2"/>
        <v>Bedsheet</v>
      </c>
      <c r="N17" t="str">
        <f t="shared" si="3"/>
        <v>OK</v>
      </c>
      <c r="O17" t="str">
        <f t="shared" si="4"/>
        <v>New</v>
      </c>
      <c r="P17" t="str">
        <f t="shared" si="5"/>
        <v>Upi</v>
      </c>
      <c r="Q17">
        <f t="shared" si="6"/>
        <v>7668.47</v>
      </c>
      <c r="R17">
        <f t="shared" si="7"/>
        <v>-566.15</v>
      </c>
    </row>
    <row r="18" spans="1:18">
      <c r="A18" t="s">
        <v>535</v>
      </c>
      <c r="B18" t="s">
        <v>75</v>
      </c>
      <c r="C18" t="s">
        <v>26</v>
      </c>
      <c r="D18" t="s">
        <v>13</v>
      </c>
      <c r="E18" t="s">
        <v>94</v>
      </c>
      <c r="F18" t="s">
        <v>15</v>
      </c>
      <c r="G18">
        <v>2</v>
      </c>
      <c r="H18">
        <v>2661.5</v>
      </c>
      <c r="I18">
        <v>-65.23</v>
      </c>
      <c r="J18" t="s">
        <v>16</v>
      </c>
      <c r="K18" t="str">
        <f t="shared" si="0"/>
        <v>West</v>
      </c>
      <c r="L18" t="str">
        <f t="shared" si="1"/>
        <v>Home</v>
      </c>
      <c r="M18" t="str">
        <f t="shared" si="2"/>
        <v>Bedsheet</v>
      </c>
      <c r="N18" t="str">
        <f t="shared" si="3"/>
        <v>OK</v>
      </c>
      <c r="O18" t="str">
        <f t="shared" si="4"/>
        <v>New</v>
      </c>
      <c r="P18" t="str">
        <f t="shared" si="5"/>
        <v>Net Banking</v>
      </c>
      <c r="Q18">
        <f t="shared" si="6"/>
        <v>2661.5</v>
      </c>
      <c r="R18">
        <f t="shared" si="7"/>
        <v>-65.23</v>
      </c>
    </row>
    <row r="19" spans="1:18">
      <c r="A19" t="s">
        <v>131</v>
      </c>
      <c r="B19" t="s">
        <v>132</v>
      </c>
      <c r="C19" t="s">
        <v>32</v>
      </c>
      <c r="D19" t="s">
        <v>13</v>
      </c>
      <c r="E19" t="s">
        <v>14</v>
      </c>
      <c r="F19" t="s">
        <v>22</v>
      </c>
      <c r="G19">
        <v>3</v>
      </c>
      <c r="H19">
        <v>9190.8700000000008</v>
      </c>
      <c r="I19">
        <v>687.11</v>
      </c>
      <c r="J19" t="s">
        <v>16</v>
      </c>
      <c r="K19" t="str">
        <f t="shared" si="0"/>
        <v>East</v>
      </c>
      <c r="L19" t="str">
        <f t="shared" si="1"/>
        <v>Home</v>
      </c>
      <c r="M19" t="str">
        <f t="shared" si="2"/>
        <v>Blender</v>
      </c>
      <c r="N19" t="str">
        <f t="shared" si="3"/>
        <v>OK</v>
      </c>
      <c r="O19" t="str">
        <f t="shared" si="4"/>
        <v>Existing</v>
      </c>
      <c r="P19" t="str">
        <f t="shared" si="5"/>
        <v>Net Banking</v>
      </c>
      <c r="Q19">
        <f t="shared" si="6"/>
        <v>9190.8700000000008</v>
      </c>
      <c r="R19">
        <f t="shared" si="7"/>
        <v>687.11</v>
      </c>
    </row>
    <row r="20" spans="1:18">
      <c r="A20" t="s">
        <v>221</v>
      </c>
      <c r="B20" t="s">
        <v>222</v>
      </c>
      <c r="C20" t="s">
        <v>32</v>
      </c>
      <c r="D20" t="s">
        <v>13</v>
      </c>
      <c r="E20" t="s">
        <v>14</v>
      </c>
      <c r="F20" t="s">
        <v>22</v>
      </c>
      <c r="G20">
        <v>5</v>
      </c>
      <c r="H20">
        <v>15878.32</v>
      </c>
      <c r="I20">
        <v>-960.42</v>
      </c>
      <c r="J20" t="s">
        <v>16</v>
      </c>
      <c r="K20" t="str">
        <f t="shared" si="0"/>
        <v>East</v>
      </c>
      <c r="L20" t="str">
        <f t="shared" si="1"/>
        <v>Home</v>
      </c>
      <c r="M20" t="str">
        <f t="shared" si="2"/>
        <v>Blender</v>
      </c>
      <c r="N20" t="str">
        <f t="shared" si="3"/>
        <v>OK</v>
      </c>
      <c r="O20" t="str">
        <f t="shared" si="4"/>
        <v>Existing</v>
      </c>
      <c r="P20" t="str">
        <f t="shared" si="5"/>
        <v>Net Banking</v>
      </c>
      <c r="Q20">
        <f t="shared" si="6"/>
        <v>15878.32</v>
      </c>
      <c r="R20">
        <f t="shared" si="7"/>
        <v>-960.42</v>
      </c>
    </row>
    <row r="21" spans="1:18">
      <c r="A21" t="s">
        <v>382</v>
      </c>
      <c r="B21" t="s">
        <v>383</v>
      </c>
      <c r="C21" t="s">
        <v>32</v>
      </c>
      <c r="D21" t="s">
        <v>13</v>
      </c>
      <c r="E21" t="s">
        <v>14</v>
      </c>
      <c r="F21" t="s">
        <v>22</v>
      </c>
      <c r="G21">
        <v>5</v>
      </c>
      <c r="H21">
        <v>14891</v>
      </c>
      <c r="I21">
        <v>1220.6500000000001</v>
      </c>
      <c r="J21" t="s">
        <v>34</v>
      </c>
      <c r="K21" t="str">
        <f t="shared" si="0"/>
        <v>East</v>
      </c>
      <c r="L21" t="str">
        <f t="shared" si="1"/>
        <v>Home</v>
      </c>
      <c r="M21" t="str">
        <f t="shared" si="2"/>
        <v>Blender</v>
      </c>
      <c r="N21" t="str">
        <f t="shared" si="3"/>
        <v>OK</v>
      </c>
      <c r="O21" t="str">
        <f t="shared" si="4"/>
        <v>Existing</v>
      </c>
      <c r="P21" t="str">
        <f t="shared" si="5"/>
        <v>Upi</v>
      </c>
      <c r="Q21">
        <f t="shared" si="6"/>
        <v>14891</v>
      </c>
      <c r="R21">
        <f t="shared" si="7"/>
        <v>1220.6500000000001</v>
      </c>
    </row>
    <row r="22" spans="1:18">
      <c r="A22" t="s">
        <v>396</v>
      </c>
      <c r="B22" t="s">
        <v>219</v>
      </c>
      <c r="C22" t="s">
        <v>32</v>
      </c>
      <c r="D22" t="s">
        <v>13</v>
      </c>
      <c r="E22" t="s">
        <v>14</v>
      </c>
      <c r="F22" t="s">
        <v>15</v>
      </c>
      <c r="G22">
        <v>1</v>
      </c>
      <c r="H22">
        <v>3211.59</v>
      </c>
      <c r="I22">
        <v>94.69</v>
      </c>
      <c r="J22" t="s">
        <v>29</v>
      </c>
      <c r="K22" t="str">
        <f t="shared" si="0"/>
        <v>East</v>
      </c>
      <c r="L22" t="str">
        <f t="shared" si="1"/>
        <v>Home</v>
      </c>
      <c r="M22" t="str">
        <f t="shared" si="2"/>
        <v>Blender</v>
      </c>
      <c r="N22" t="str">
        <f t="shared" si="3"/>
        <v>OK</v>
      </c>
      <c r="O22" t="str">
        <f t="shared" si="4"/>
        <v>New</v>
      </c>
      <c r="P22" t="str">
        <f t="shared" si="5"/>
        <v>Cash</v>
      </c>
      <c r="Q22">
        <f t="shared" si="6"/>
        <v>3211.59</v>
      </c>
      <c r="R22">
        <f t="shared" si="7"/>
        <v>94.69</v>
      </c>
    </row>
    <row r="23" spans="1:18">
      <c r="A23" t="s">
        <v>400</v>
      </c>
      <c r="B23" t="s">
        <v>401</v>
      </c>
      <c r="C23" t="s">
        <v>32</v>
      </c>
      <c r="D23" t="s">
        <v>13</v>
      </c>
      <c r="E23" t="s">
        <v>14</v>
      </c>
      <c r="F23" t="s">
        <v>15</v>
      </c>
      <c r="G23">
        <v>1</v>
      </c>
      <c r="H23">
        <v>2931.98</v>
      </c>
      <c r="I23">
        <v>766.64</v>
      </c>
      <c r="J23" t="s">
        <v>16</v>
      </c>
      <c r="K23" t="str">
        <f t="shared" si="0"/>
        <v>East</v>
      </c>
      <c r="L23" t="str">
        <f t="shared" si="1"/>
        <v>Home</v>
      </c>
      <c r="M23" t="str">
        <f t="shared" si="2"/>
        <v>Blender</v>
      </c>
      <c r="N23" t="str">
        <f t="shared" si="3"/>
        <v>OK</v>
      </c>
      <c r="O23" t="str">
        <f t="shared" si="4"/>
        <v>New</v>
      </c>
      <c r="P23" t="str">
        <f t="shared" si="5"/>
        <v>Net Banking</v>
      </c>
      <c r="Q23">
        <f t="shared" si="6"/>
        <v>2931.98</v>
      </c>
      <c r="R23">
        <f t="shared" si="7"/>
        <v>766.64</v>
      </c>
    </row>
    <row r="24" spans="1:18">
      <c r="A24" t="s">
        <v>402</v>
      </c>
      <c r="B24" t="s">
        <v>403</v>
      </c>
      <c r="C24" t="s">
        <v>32</v>
      </c>
      <c r="D24" t="s">
        <v>13</v>
      </c>
      <c r="E24" t="s">
        <v>14</v>
      </c>
      <c r="F24" t="s">
        <v>22</v>
      </c>
      <c r="G24">
        <v>4</v>
      </c>
      <c r="H24">
        <v>13795.83</v>
      </c>
      <c r="I24">
        <v>1605.94</v>
      </c>
      <c r="J24" t="s">
        <v>23</v>
      </c>
      <c r="K24" t="str">
        <f t="shared" si="0"/>
        <v>East</v>
      </c>
      <c r="L24" t="str">
        <f t="shared" si="1"/>
        <v>Home</v>
      </c>
      <c r="M24" t="str">
        <f t="shared" si="2"/>
        <v>Blender</v>
      </c>
      <c r="N24" t="str">
        <f t="shared" si="3"/>
        <v>OK</v>
      </c>
      <c r="O24" t="str">
        <f t="shared" si="4"/>
        <v>Existing</v>
      </c>
      <c r="P24" t="str">
        <f t="shared" si="5"/>
        <v>Card</v>
      </c>
      <c r="Q24">
        <f t="shared" si="6"/>
        <v>13795.83</v>
      </c>
      <c r="R24">
        <f t="shared" si="7"/>
        <v>1605.94</v>
      </c>
    </row>
    <row r="25" spans="1:18">
      <c r="A25" t="s">
        <v>10</v>
      </c>
      <c r="B25" t="s">
        <v>11</v>
      </c>
      <c r="C25" t="s">
        <v>12</v>
      </c>
      <c r="D25" t="s">
        <v>13</v>
      </c>
      <c r="E25" t="s">
        <v>14</v>
      </c>
      <c r="F25" t="s">
        <v>15</v>
      </c>
      <c r="G25">
        <v>1</v>
      </c>
      <c r="H25">
        <v>3354.59</v>
      </c>
      <c r="I25">
        <v>27.38</v>
      </c>
      <c r="J25" t="s">
        <v>16</v>
      </c>
      <c r="K25" t="str">
        <f t="shared" si="0"/>
        <v>North</v>
      </c>
      <c r="L25" t="str">
        <f t="shared" si="1"/>
        <v>Home</v>
      </c>
      <c r="M25" t="str">
        <f t="shared" si="2"/>
        <v>Blender</v>
      </c>
      <c r="N25" t="str">
        <f t="shared" si="3"/>
        <v>OK</v>
      </c>
      <c r="O25" t="str">
        <f t="shared" si="4"/>
        <v>New</v>
      </c>
      <c r="P25" t="str">
        <f t="shared" si="5"/>
        <v>Net Banking</v>
      </c>
      <c r="Q25">
        <f t="shared" si="6"/>
        <v>3354.59</v>
      </c>
      <c r="R25">
        <f t="shared" si="7"/>
        <v>27.38</v>
      </c>
    </row>
    <row r="26" spans="1:18">
      <c r="A26" t="s">
        <v>163</v>
      </c>
      <c r="B26" t="s">
        <v>164</v>
      </c>
      <c r="C26" t="s">
        <v>12</v>
      </c>
      <c r="D26" t="s">
        <v>13</v>
      </c>
      <c r="E26" t="s">
        <v>14</v>
      </c>
      <c r="F26" t="s">
        <v>15</v>
      </c>
      <c r="G26">
        <v>1</v>
      </c>
      <c r="H26">
        <v>3362.71</v>
      </c>
      <c r="I26">
        <v>880.56</v>
      </c>
      <c r="J26" t="s">
        <v>23</v>
      </c>
      <c r="K26" t="str">
        <f t="shared" si="0"/>
        <v>North</v>
      </c>
      <c r="L26" t="str">
        <f t="shared" si="1"/>
        <v>Home</v>
      </c>
      <c r="M26" t="str">
        <f t="shared" si="2"/>
        <v>Blender</v>
      </c>
      <c r="N26" t="str">
        <f t="shared" si="3"/>
        <v>OK</v>
      </c>
      <c r="O26" t="str">
        <f t="shared" si="4"/>
        <v>New</v>
      </c>
      <c r="P26" t="str">
        <f t="shared" si="5"/>
        <v>Card</v>
      </c>
      <c r="Q26">
        <f t="shared" si="6"/>
        <v>3362.71</v>
      </c>
      <c r="R26">
        <f t="shared" si="7"/>
        <v>880.56</v>
      </c>
    </row>
    <row r="27" spans="1:18">
      <c r="A27" t="s">
        <v>269</v>
      </c>
      <c r="B27" t="s">
        <v>270</v>
      </c>
      <c r="C27" t="s">
        <v>12</v>
      </c>
      <c r="D27" t="s">
        <v>13</v>
      </c>
      <c r="E27" t="s">
        <v>14</v>
      </c>
      <c r="F27" t="s">
        <v>22</v>
      </c>
      <c r="G27">
        <v>4</v>
      </c>
      <c r="H27">
        <v>13096.07</v>
      </c>
      <c r="I27">
        <v>3379.56</v>
      </c>
      <c r="J27" t="s">
        <v>23</v>
      </c>
      <c r="K27" t="str">
        <f t="shared" si="0"/>
        <v>North</v>
      </c>
      <c r="L27" t="str">
        <f t="shared" si="1"/>
        <v>Home</v>
      </c>
      <c r="M27" t="str">
        <f t="shared" si="2"/>
        <v>Blender</v>
      </c>
      <c r="N27" t="str">
        <f t="shared" si="3"/>
        <v>OK</v>
      </c>
      <c r="O27" t="str">
        <f t="shared" si="4"/>
        <v>Existing</v>
      </c>
      <c r="P27" t="str">
        <f t="shared" si="5"/>
        <v>Card</v>
      </c>
      <c r="Q27">
        <f t="shared" si="6"/>
        <v>13096.07</v>
      </c>
      <c r="R27">
        <f t="shared" si="7"/>
        <v>3379.56</v>
      </c>
    </row>
    <row r="28" spans="1:18">
      <c r="A28" t="s">
        <v>283</v>
      </c>
      <c r="B28" t="s">
        <v>108</v>
      </c>
      <c r="C28" t="s">
        <v>12</v>
      </c>
      <c r="D28" t="s">
        <v>13</v>
      </c>
      <c r="E28" t="s">
        <v>14</v>
      </c>
      <c r="F28" t="s">
        <v>22</v>
      </c>
      <c r="G28">
        <v>1</v>
      </c>
      <c r="H28">
        <v>3519.1</v>
      </c>
      <c r="I28">
        <v>791.89</v>
      </c>
      <c r="J28" t="s">
        <v>16</v>
      </c>
      <c r="K28" t="str">
        <f t="shared" si="0"/>
        <v>North</v>
      </c>
      <c r="L28" t="str">
        <f t="shared" si="1"/>
        <v>Home</v>
      </c>
      <c r="M28" t="str">
        <f t="shared" si="2"/>
        <v>Blender</v>
      </c>
      <c r="N28" t="str">
        <f t="shared" si="3"/>
        <v>OK</v>
      </c>
      <c r="O28" t="str">
        <f t="shared" si="4"/>
        <v>Existing</v>
      </c>
      <c r="P28" t="str">
        <f t="shared" si="5"/>
        <v>Net Banking</v>
      </c>
      <c r="Q28">
        <f t="shared" si="6"/>
        <v>3519.1</v>
      </c>
      <c r="R28">
        <f t="shared" si="7"/>
        <v>791.89</v>
      </c>
    </row>
    <row r="29" spans="1:18">
      <c r="A29" t="s">
        <v>483</v>
      </c>
      <c r="B29" t="s">
        <v>85</v>
      </c>
      <c r="C29" t="s">
        <v>12</v>
      </c>
      <c r="D29" t="s">
        <v>13</v>
      </c>
      <c r="E29" t="s">
        <v>14</v>
      </c>
      <c r="F29" t="s">
        <v>22</v>
      </c>
      <c r="G29">
        <v>4</v>
      </c>
      <c r="H29">
        <v>13688.66</v>
      </c>
      <c r="I29">
        <v>-639.44000000000005</v>
      </c>
      <c r="J29" t="s">
        <v>16</v>
      </c>
      <c r="K29" t="str">
        <f t="shared" si="0"/>
        <v>North</v>
      </c>
      <c r="L29" t="str">
        <f t="shared" si="1"/>
        <v>Home</v>
      </c>
      <c r="M29" t="str">
        <f t="shared" si="2"/>
        <v>Blender</v>
      </c>
      <c r="N29" t="str">
        <f t="shared" si="3"/>
        <v>OK</v>
      </c>
      <c r="O29" t="str">
        <f t="shared" si="4"/>
        <v>Existing</v>
      </c>
      <c r="P29" t="str">
        <f t="shared" si="5"/>
        <v>Net Banking</v>
      </c>
      <c r="Q29">
        <f t="shared" si="6"/>
        <v>13688.66</v>
      </c>
      <c r="R29">
        <f t="shared" si="7"/>
        <v>-639.44000000000005</v>
      </c>
    </row>
    <row r="30" spans="1:18">
      <c r="A30" t="s">
        <v>495</v>
      </c>
      <c r="B30" t="s">
        <v>496</v>
      </c>
      <c r="C30" t="s">
        <v>12</v>
      </c>
      <c r="D30" t="s">
        <v>13</v>
      </c>
      <c r="E30" t="s">
        <v>14</v>
      </c>
      <c r="F30" t="s">
        <v>15</v>
      </c>
      <c r="G30">
        <v>5</v>
      </c>
      <c r="H30">
        <v>14508.24</v>
      </c>
      <c r="I30">
        <v>3261.61</v>
      </c>
      <c r="J30" t="s">
        <v>16</v>
      </c>
      <c r="K30" t="str">
        <f t="shared" si="0"/>
        <v>North</v>
      </c>
      <c r="L30" t="str">
        <f t="shared" si="1"/>
        <v>Home</v>
      </c>
      <c r="M30" t="str">
        <f t="shared" si="2"/>
        <v>Blender</v>
      </c>
      <c r="N30" t="str">
        <f t="shared" si="3"/>
        <v>OK</v>
      </c>
      <c r="O30" t="str">
        <f t="shared" si="4"/>
        <v>New</v>
      </c>
      <c r="P30" t="str">
        <f t="shared" si="5"/>
        <v>Net Banking</v>
      </c>
      <c r="Q30">
        <f t="shared" si="6"/>
        <v>14508.24</v>
      </c>
      <c r="R30">
        <f t="shared" si="7"/>
        <v>3261.61</v>
      </c>
    </row>
    <row r="31" spans="1:18">
      <c r="A31" t="s">
        <v>504</v>
      </c>
      <c r="B31" t="s">
        <v>505</v>
      </c>
      <c r="C31" t="s">
        <v>12</v>
      </c>
      <c r="D31" t="s">
        <v>13</v>
      </c>
      <c r="E31" t="s">
        <v>14</v>
      </c>
      <c r="F31" t="s">
        <v>15</v>
      </c>
      <c r="G31">
        <v>1</v>
      </c>
      <c r="H31">
        <v>3139.38</v>
      </c>
      <c r="I31">
        <v>175.12</v>
      </c>
      <c r="J31" t="s">
        <v>23</v>
      </c>
      <c r="K31" t="str">
        <f t="shared" si="0"/>
        <v>North</v>
      </c>
      <c r="L31" t="str">
        <f t="shared" si="1"/>
        <v>Home</v>
      </c>
      <c r="M31" t="str">
        <f t="shared" si="2"/>
        <v>Blender</v>
      </c>
      <c r="N31" t="str">
        <f t="shared" si="3"/>
        <v>OK</v>
      </c>
      <c r="O31" t="str">
        <f t="shared" si="4"/>
        <v>New</v>
      </c>
      <c r="P31" t="str">
        <f t="shared" si="5"/>
        <v>Card</v>
      </c>
      <c r="Q31">
        <f t="shared" si="6"/>
        <v>3139.38</v>
      </c>
      <c r="R31">
        <f t="shared" si="7"/>
        <v>175.12</v>
      </c>
    </row>
    <row r="32" spans="1:18">
      <c r="A32" t="s">
        <v>38</v>
      </c>
      <c r="B32" t="s">
        <v>36</v>
      </c>
      <c r="C32" t="s">
        <v>19</v>
      </c>
      <c r="D32" t="s">
        <v>13</v>
      </c>
      <c r="E32" t="s">
        <v>14</v>
      </c>
      <c r="F32" t="s">
        <v>15</v>
      </c>
      <c r="G32">
        <v>1</v>
      </c>
      <c r="H32">
        <v>3303.21</v>
      </c>
      <c r="I32">
        <v>655.04</v>
      </c>
      <c r="J32" t="s">
        <v>16</v>
      </c>
      <c r="K32" t="str">
        <f t="shared" si="0"/>
        <v>South</v>
      </c>
      <c r="L32" t="str">
        <f t="shared" si="1"/>
        <v>Home</v>
      </c>
      <c r="M32" t="str">
        <f t="shared" si="2"/>
        <v>Blender</v>
      </c>
      <c r="N32" t="str">
        <f t="shared" si="3"/>
        <v>OK</v>
      </c>
      <c r="O32" t="str">
        <f t="shared" si="4"/>
        <v>New</v>
      </c>
      <c r="P32" t="str">
        <f t="shared" si="5"/>
        <v>Net Banking</v>
      </c>
      <c r="Q32">
        <f t="shared" si="6"/>
        <v>3303.21</v>
      </c>
      <c r="R32">
        <f t="shared" si="7"/>
        <v>655.04</v>
      </c>
    </row>
    <row r="33" spans="1:18">
      <c r="A33" t="s">
        <v>76</v>
      </c>
      <c r="B33" t="s">
        <v>77</v>
      </c>
      <c r="C33" t="s">
        <v>19</v>
      </c>
      <c r="D33" t="s">
        <v>13</v>
      </c>
      <c r="E33" t="s">
        <v>14</v>
      </c>
      <c r="F33" t="s">
        <v>15</v>
      </c>
      <c r="G33">
        <v>1</v>
      </c>
      <c r="H33">
        <v>3137.68</v>
      </c>
      <c r="I33">
        <v>132.25</v>
      </c>
      <c r="J33" t="s">
        <v>23</v>
      </c>
      <c r="K33" t="str">
        <f t="shared" si="0"/>
        <v>South</v>
      </c>
      <c r="L33" t="str">
        <f t="shared" si="1"/>
        <v>Home</v>
      </c>
      <c r="M33" t="str">
        <f t="shared" si="2"/>
        <v>Blender</v>
      </c>
      <c r="N33" t="str">
        <f t="shared" si="3"/>
        <v>OK</v>
      </c>
      <c r="O33" t="str">
        <f t="shared" si="4"/>
        <v>New</v>
      </c>
      <c r="P33" t="str">
        <f t="shared" si="5"/>
        <v>Card</v>
      </c>
      <c r="Q33">
        <f t="shared" si="6"/>
        <v>3137.68</v>
      </c>
      <c r="R33">
        <f t="shared" si="7"/>
        <v>132.25</v>
      </c>
    </row>
    <row r="34" spans="1:18">
      <c r="A34" t="s">
        <v>113</v>
      </c>
      <c r="B34" t="s">
        <v>114</v>
      </c>
      <c r="C34" t="s">
        <v>19</v>
      </c>
      <c r="D34" t="s">
        <v>13</v>
      </c>
      <c r="E34" t="s">
        <v>14</v>
      </c>
      <c r="F34" t="s">
        <v>15</v>
      </c>
      <c r="G34">
        <v>3</v>
      </c>
      <c r="H34">
        <v>10137.82</v>
      </c>
      <c r="I34">
        <v>2415.73</v>
      </c>
      <c r="J34" t="s">
        <v>23</v>
      </c>
      <c r="K34" t="str">
        <f t="shared" si="0"/>
        <v>South</v>
      </c>
      <c r="L34" t="str">
        <f t="shared" si="1"/>
        <v>Home</v>
      </c>
      <c r="M34" t="str">
        <f t="shared" si="2"/>
        <v>Blender</v>
      </c>
      <c r="N34" t="str">
        <f t="shared" si="3"/>
        <v>OK</v>
      </c>
      <c r="O34" t="str">
        <f t="shared" si="4"/>
        <v>New</v>
      </c>
      <c r="P34" t="str">
        <f t="shared" si="5"/>
        <v>Card</v>
      </c>
      <c r="Q34">
        <f t="shared" si="6"/>
        <v>10137.82</v>
      </c>
      <c r="R34">
        <f t="shared" si="7"/>
        <v>2415.73</v>
      </c>
    </row>
    <row r="35" spans="1:18">
      <c r="A35" t="s">
        <v>118</v>
      </c>
      <c r="B35" t="s">
        <v>119</v>
      </c>
      <c r="C35" t="s">
        <v>19</v>
      </c>
      <c r="D35" t="s">
        <v>13</v>
      </c>
      <c r="E35" t="s">
        <v>14</v>
      </c>
      <c r="F35" t="s">
        <v>22</v>
      </c>
      <c r="G35">
        <v>4</v>
      </c>
      <c r="H35">
        <v>13752.75</v>
      </c>
      <c r="I35">
        <v>3150.67</v>
      </c>
      <c r="J35" t="s">
        <v>29</v>
      </c>
      <c r="K35" t="str">
        <f t="shared" si="0"/>
        <v>South</v>
      </c>
      <c r="L35" t="str">
        <f t="shared" si="1"/>
        <v>Home</v>
      </c>
      <c r="M35" t="str">
        <f t="shared" si="2"/>
        <v>Blender</v>
      </c>
      <c r="N35" t="str">
        <f t="shared" si="3"/>
        <v>OK</v>
      </c>
      <c r="O35" t="str">
        <f t="shared" si="4"/>
        <v>Existing</v>
      </c>
      <c r="P35" t="str">
        <f t="shared" si="5"/>
        <v>Cash</v>
      </c>
      <c r="Q35">
        <f t="shared" si="6"/>
        <v>13752.75</v>
      </c>
      <c r="R35">
        <f t="shared" si="7"/>
        <v>3150.67</v>
      </c>
    </row>
    <row r="36" spans="1:18">
      <c r="A36" t="s">
        <v>242</v>
      </c>
      <c r="B36" t="s">
        <v>206</v>
      </c>
      <c r="C36" t="s">
        <v>19</v>
      </c>
      <c r="D36" t="s">
        <v>13</v>
      </c>
      <c r="E36" t="s">
        <v>14</v>
      </c>
      <c r="F36" t="s">
        <v>15</v>
      </c>
      <c r="G36">
        <v>5</v>
      </c>
      <c r="H36">
        <v>14618.95</v>
      </c>
      <c r="I36">
        <v>2152.17</v>
      </c>
      <c r="J36" t="s">
        <v>16</v>
      </c>
      <c r="K36" t="str">
        <f t="shared" si="0"/>
        <v>South</v>
      </c>
      <c r="L36" t="str">
        <f t="shared" si="1"/>
        <v>Home</v>
      </c>
      <c r="M36" t="str">
        <f t="shared" si="2"/>
        <v>Blender</v>
      </c>
      <c r="N36" t="str">
        <f t="shared" si="3"/>
        <v>OK</v>
      </c>
      <c r="O36" t="str">
        <f t="shared" si="4"/>
        <v>New</v>
      </c>
      <c r="P36" t="str">
        <f t="shared" si="5"/>
        <v>Net Banking</v>
      </c>
      <c r="Q36">
        <f t="shared" si="6"/>
        <v>14618.95</v>
      </c>
      <c r="R36">
        <f t="shared" si="7"/>
        <v>2152.17</v>
      </c>
    </row>
    <row r="37" spans="1:18">
      <c r="A37" t="s">
        <v>379</v>
      </c>
      <c r="B37" t="s">
        <v>380</v>
      </c>
      <c r="C37" t="s">
        <v>19</v>
      </c>
      <c r="D37" t="s">
        <v>13</v>
      </c>
      <c r="E37" t="s">
        <v>14</v>
      </c>
      <c r="F37" t="s">
        <v>15</v>
      </c>
      <c r="G37">
        <v>1</v>
      </c>
      <c r="H37">
        <v>3309.56</v>
      </c>
      <c r="I37">
        <v>219.21</v>
      </c>
      <c r="J37" t="s">
        <v>23</v>
      </c>
      <c r="K37" t="str">
        <f t="shared" si="0"/>
        <v>South</v>
      </c>
      <c r="L37" t="str">
        <f t="shared" si="1"/>
        <v>Home</v>
      </c>
      <c r="M37" t="str">
        <f t="shared" si="2"/>
        <v>Blender</v>
      </c>
      <c r="N37" t="str">
        <f t="shared" si="3"/>
        <v>OK</v>
      </c>
      <c r="O37" t="str">
        <f t="shared" si="4"/>
        <v>New</v>
      </c>
      <c r="P37" t="str">
        <f t="shared" si="5"/>
        <v>Card</v>
      </c>
      <c r="Q37">
        <f t="shared" si="6"/>
        <v>3309.56</v>
      </c>
      <c r="R37">
        <f t="shared" si="7"/>
        <v>219.21</v>
      </c>
    </row>
    <row r="38" spans="1:18">
      <c r="A38" t="s">
        <v>395</v>
      </c>
      <c r="B38" t="s">
        <v>333</v>
      </c>
      <c r="C38" t="s">
        <v>19</v>
      </c>
      <c r="D38" t="s">
        <v>13</v>
      </c>
      <c r="E38" t="s">
        <v>14</v>
      </c>
      <c r="F38" t="s">
        <v>15</v>
      </c>
      <c r="G38">
        <v>4</v>
      </c>
      <c r="H38">
        <v>12712.53</v>
      </c>
      <c r="I38">
        <v>1350.7</v>
      </c>
      <c r="J38" t="s">
        <v>16</v>
      </c>
      <c r="K38" t="str">
        <f t="shared" si="0"/>
        <v>South</v>
      </c>
      <c r="L38" t="str">
        <f t="shared" si="1"/>
        <v>Home</v>
      </c>
      <c r="M38" t="str">
        <f t="shared" si="2"/>
        <v>Blender</v>
      </c>
      <c r="N38" t="str">
        <f t="shared" si="3"/>
        <v>OK</v>
      </c>
      <c r="O38" t="str">
        <f t="shared" si="4"/>
        <v>New</v>
      </c>
      <c r="P38" t="str">
        <f t="shared" si="5"/>
        <v>Net Banking</v>
      </c>
      <c r="Q38">
        <f t="shared" si="6"/>
        <v>12712.53</v>
      </c>
      <c r="R38">
        <f t="shared" si="7"/>
        <v>1350.7</v>
      </c>
    </row>
    <row r="39" spans="1:18">
      <c r="A39" t="s">
        <v>548</v>
      </c>
      <c r="B39" t="s">
        <v>344</v>
      </c>
      <c r="C39" t="s">
        <v>19</v>
      </c>
      <c r="D39" t="s">
        <v>13</v>
      </c>
      <c r="E39" t="s">
        <v>14</v>
      </c>
      <c r="F39" t="s">
        <v>15</v>
      </c>
      <c r="G39">
        <v>2</v>
      </c>
      <c r="H39">
        <v>6950.3</v>
      </c>
      <c r="I39">
        <v>1296.76</v>
      </c>
      <c r="J39" t="s">
        <v>29</v>
      </c>
      <c r="K39" t="str">
        <f t="shared" si="0"/>
        <v>South</v>
      </c>
      <c r="L39" t="str">
        <f t="shared" si="1"/>
        <v>Home</v>
      </c>
      <c r="M39" t="str">
        <f t="shared" si="2"/>
        <v>Blender</v>
      </c>
      <c r="N39" t="str">
        <f t="shared" si="3"/>
        <v>OK</v>
      </c>
      <c r="O39" t="str">
        <f t="shared" si="4"/>
        <v>New</v>
      </c>
      <c r="P39" t="str">
        <f t="shared" si="5"/>
        <v>Cash</v>
      </c>
      <c r="Q39">
        <f t="shared" si="6"/>
        <v>6950.3</v>
      </c>
      <c r="R39">
        <f t="shared" si="7"/>
        <v>1296.76</v>
      </c>
    </row>
    <row r="40" spans="1:18">
      <c r="A40" t="s">
        <v>88</v>
      </c>
      <c r="B40" t="s">
        <v>89</v>
      </c>
      <c r="C40" t="s">
        <v>26</v>
      </c>
      <c r="D40" t="s">
        <v>13</v>
      </c>
      <c r="E40" t="s">
        <v>14</v>
      </c>
      <c r="F40" t="s">
        <v>15</v>
      </c>
      <c r="G40">
        <v>2</v>
      </c>
      <c r="H40">
        <v>5847.71</v>
      </c>
      <c r="I40">
        <v>-324.75</v>
      </c>
      <c r="J40" t="s">
        <v>23</v>
      </c>
      <c r="K40" t="str">
        <f t="shared" si="0"/>
        <v>West</v>
      </c>
      <c r="L40" t="str">
        <f t="shared" si="1"/>
        <v>Home</v>
      </c>
      <c r="M40" t="str">
        <f t="shared" si="2"/>
        <v>Blender</v>
      </c>
      <c r="N40" t="str">
        <f t="shared" si="3"/>
        <v>OK</v>
      </c>
      <c r="O40" t="str">
        <f t="shared" si="4"/>
        <v>New</v>
      </c>
      <c r="P40" t="str">
        <f t="shared" si="5"/>
        <v>Card</v>
      </c>
      <c r="Q40">
        <f t="shared" si="6"/>
        <v>5847.71</v>
      </c>
      <c r="R40">
        <f t="shared" si="7"/>
        <v>-324.75</v>
      </c>
    </row>
    <row r="41" spans="1:18">
      <c r="A41" t="s">
        <v>303</v>
      </c>
      <c r="B41" t="s">
        <v>304</v>
      </c>
      <c r="C41" t="s">
        <v>26</v>
      </c>
      <c r="D41" t="s">
        <v>13</v>
      </c>
      <c r="E41" t="s">
        <v>14</v>
      </c>
      <c r="F41" t="s">
        <v>22</v>
      </c>
      <c r="G41">
        <v>1</v>
      </c>
      <c r="H41">
        <v>3054.15</v>
      </c>
      <c r="I41">
        <v>483.47</v>
      </c>
      <c r="J41" t="s">
        <v>29</v>
      </c>
      <c r="K41" t="str">
        <f t="shared" si="0"/>
        <v>West</v>
      </c>
      <c r="L41" t="str">
        <f t="shared" si="1"/>
        <v>Home</v>
      </c>
      <c r="M41" t="str">
        <f t="shared" si="2"/>
        <v>Blender</v>
      </c>
      <c r="N41" t="str">
        <f t="shared" si="3"/>
        <v>OK</v>
      </c>
      <c r="O41" t="str">
        <f t="shared" si="4"/>
        <v>Existing</v>
      </c>
      <c r="P41" t="str">
        <f t="shared" si="5"/>
        <v>Cash</v>
      </c>
      <c r="Q41">
        <f t="shared" si="6"/>
        <v>3054.15</v>
      </c>
      <c r="R41">
        <f t="shared" si="7"/>
        <v>483.47</v>
      </c>
    </row>
    <row r="42" spans="1:18">
      <c r="A42" t="s">
        <v>513</v>
      </c>
      <c r="B42" t="s">
        <v>514</v>
      </c>
      <c r="C42" t="s">
        <v>26</v>
      </c>
      <c r="D42" t="s">
        <v>13</v>
      </c>
      <c r="E42" t="s">
        <v>14</v>
      </c>
      <c r="F42" t="s">
        <v>15</v>
      </c>
      <c r="G42">
        <v>5</v>
      </c>
      <c r="H42">
        <v>16785.46</v>
      </c>
      <c r="I42">
        <v>747.11</v>
      </c>
      <c r="J42" t="s">
        <v>34</v>
      </c>
      <c r="K42" t="str">
        <f t="shared" si="0"/>
        <v>West</v>
      </c>
      <c r="L42" t="str">
        <f t="shared" si="1"/>
        <v>Home</v>
      </c>
      <c r="M42" t="str">
        <f t="shared" si="2"/>
        <v>Blender</v>
      </c>
      <c r="N42" t="str">
        <f t="shared" si="3"/>
        <v>OK</v>
      </c>
      <c r="O42" t="str">
        <f t="shared" si="4"/>
        <v>New</v>
      </c>
      <c r="P42" t="str">
        <f t="shared" si="5"/>
        <v>Upi</v>
      </c>
      <c r="Q42">
        <f t="shared" si="6"/>
        <v>16785.46</v>
      </c>
      <c r="R42">
        <f t="shared" si="7"/>
        <v>747.11</v>
      </c>
    </row>
    <row r="43" spans="1:18">
      <c r="A43" t="s">
        <v>99</v>
      </c>
      <c r="B43" t="s">
        <v>100</v>
      </c>
      <c r="C43" t="s">
        <v>32</v>
      </c>
      <c r="D43" t="s">
        <v>101</v>
      </c>
      <c r="E43" t="s">
        <v>56</v>
      </c>
      <c r="F43" t="s">
        <v>15</v>
      </c>
      <c r="G43">
        <v>3</v>
      </c>
      <c r="H43">
        <v>14665.74</v>
      </c>
      <c r="I43">
        <v>-626.36</v>
      </c>
      <c r="J43" t="s">
        <v>34</v>
      </c>
      <c r="K43" t="str">
        <f t="shared" si="0"/>
        <v>East</v>
      </c>
      <c r="L43" t="str">
        <f t="shared" si="1"/>
        <v>Home</v>
      </c>
      <c r="M43" t="str">
        <f t="shared" si="2"/>
        <v>Chair</v>
      </c>
      <c r="N43" t="str">
        <f t="shared" si="3"/>
        <v>OK</v>
      </c>
      <c r="O43" t="str">
        <f t="shared" si="4"/>
        <v>New</v>
      </c>
      <c r="P43" t="str">
        <f t="shared" si="5"/>
        <v>Upi</v>
      </c>
      <c r="Q43">
        <f t="shared" si="6"/>
        <v>14665.74</v>
      </c>
      <c r="R43">
        <f t="shared" si="7"/>
        <v>-626.36</v>
      </c>
    </row>
    <row r="44" spans="1:18">
      <c r="A44" t="s">
        <v>90</v>
      </c>
      <c r="B44" t="s">
        <v>91</v>
      </c>
      <c r="C44" t="s">
        <v>32</v>
      </c>
      <c r="D44" t="s">
        <v>13</v>
      </c>
      <c r="E44" t="s">
        <v>56</v>
      </c>
      <c r="F44" t="s">
        <v>22</v>
      </c>
      <c r="G44">
        <v>1</v>
      </c>
      <c r="H44">
        <v>4607.4399999999996</v>
      </c>
      <c r="I44">
        <v>326.76</v>
      </c>
      <c r="J44" t="s">
        <v>23</v>
      </c>
      <c r="K44" t="str">
        <f t="shared" si="0"/>
        <v>East</v>
      </c>
      <c r="L44" t="str">
        <f t="shared" si="1"/>
        <v>Home</v>
      </c>
      <c r="M44" t="str">
        <f t="shared" si="2"/>
        <v>Chair</v>
      </c>
      <c r="N44" t="str">
        <f t="shared" si="3"/>
        <v>OK</v>
      </c>
      <c r="O44" t="str">
        <f t="shared" si="4"/>
        <v>Existing</v>
      </c>
      <c r="P44" t="str">
        <f t="shared" si="5"/>
        <v>Card</v>
      </c>
      <c r="Q44">
        <f t="shared" si="6"/>
        <v>4607.4399999999996</v>
      </c>
      <c r="R44">
        <f t="shared" si="7"/>
        <v>326.76</v>
      </c>
    </row>
    <row r="45" spans="1:18">
      <c r="A45" t="s">
        <v>171</v>
      </c>
      <c r="B45" t="s">
        <v>172</v>
      </c>
      <c r="C45" t="s">
        <v>32</v>
      </c>
      <c r="D45" t="s">
        <v>13</v>
      </c>
      <c r="E45" t="s">
        <v>56</v>
      </c>
      <c r="F45" t="s">
        <v>22</v>
      </c>
      <c r="G45">
        <v>1</v>
      </c>
      <c r="H45">
        <v>4766.6000000000004</v>
      </c>
      <c r="I45">
        <v>589.79999999999995</v>
      </c>
      <c r="J45" t="s">
        <v>29</v>
      </c>
      <c r="K45" t="str">
        <f t="shared" si="0"/>
        <v>East</v>
      </c>
      <c r="L45" t="str">
        <f t="shared" si="1"/>
        <v>Home</v>
      </c>
      <c r="M45" t="str">
        <f t="shared" si="2"/>
        <v>Chair</v>
      </c>
      <c r="N45" t="str">
        <f t="shared" si="3"/>
        <v>OK</v>
      </c>
      <c r="O45" t="str">
        <f t="shared" si="4"/>
        <v>Existing</v>
      </c>
      <c r="P45" t="str">
        <f t="shared" si="5"/>
        <v>Cash</v>
      </c>
      <c r="Q45">
        <f t="shared" si="6"/>
        <v>4766.6000000000004</v>
      </c>
      <c r="R45">
        <f t="shared" si="7"/>
        <v>589.79999999999995</v>
      </c>
    </row>
    <row r="46" spans="1:18">
      <c r="A46" t="s">
        <v>295</v>
      </c>
      <c r="B46" t="s">
        <v>77</v>
      </c>
      <c r="C46" t="s">
        <v>32</v>
      </c>
      <c r="D46" t="s">
        <v>13</v>
      </c>
      <c r="E46" t="s">
        <v>56</v>
      </c>
      <c r="F46" t="s">
        <v>22</v>
      </c>
      <c r="G46">
        <v>2</v>
      </c>
      <c r="H46">
        <v>8378.51</v>
      </c>
      <c r="I46">
        <v>784.13</v>
      </c>
      <c r="J46" t="s">
        <v>34</v>
      </c>
      <c r="K46" t="str">
        <f t="shared" si="0"/>
        <v>East</v>
      </c>
      <c r="L46" t="str">
        <f t="shared" si="1"/>
        <v>Home</v>
      </c>
      <c r="M46" t="str">
        <f t="shared" si="2"/>
        <v>Chair</v>
      </c>
      <c r="N46" t="str">
        <f t="shared" si="3"/>
        <v>OK</v>
      </c>
      <c r="O46" t="str">
        <f t="shared" si="4"/>
        <v>Existing</v>
      </c>
      <c r="P46" t="str">
        <f t="shared" si="5"/>
        <v>Upi</v>
      </c>
      <c r="Q46">
        <f t="shared" si="6"/>
        <v>8378.51</v>
      </c>
      <c r="R46">
        <f t="shared" si="7"/>
        <v>784.13</v>
      </c>
    </row>
    <row r="47" spans="1:18">
      <c r="A47" t="s">
        <v>417</v>
      </c>
      <c r="B47" t="s">
        <v>418</v>
      </c>
      <c r="C47" t="s">
        <v>32</v>
      </c>
      <c r="D47" t="s">
        <v>13</v>
      </c>
      <c r="E47" t="s">
        <v>56</v>
      </c>
      <c r="F47" t="s">
        <v>22</v>
      </c>
      <c r="G47">
        <v>1</v>
      </c>
      <c r="H47">
        <v>4165.8</v>
      </c>
      <c r="I47">
        <v>-188.27</v>
      </c>
      <c r="J47" t="s">
        <v>23</v>
      </c>
      <c r="K47" t="str">
        <f t="shared" si="0"/>
        <v>East</v>
      </c>
      <c r="L47" t="str">
        <f t="shared" si="1"/>
        <v>Home</v>
      </c>
      <c r="M47" t="str">
        <f t="shared" si="2"/>
        <v>Chair</v>
      </c>
      <c r="N47" t="str">
        <f t="shared" si="3"/>
        <v>OK</v>
      </c>
      <c r="O47" t="str">
        <f t="shared" si="4"/>
        <v>Existing</v>
      </c>
      <c r="P47" t="str">
        <f t="shared" si="5"/>
        <v>Card</v>
      </c>
      <c r="Q47">
        <f t="shared" si="6"/>
        <v>4165.8</v>
      </c>
      <c r="R47">
        <f t="shared" si="7"/>
        <v>-188.27</v>
      </c>
    </row>
    <row r="48" spans="1:18">
      <c r="A48" t="s">
        <v>507</v>
      </c>
      <c r="B48" t="s">
        <v>508</v>
      </c>
      <c r="C48" t="s">
        <v>32</v>
      </c>
      <c r="D48" t="s">
        <v>13</v>
      </c>
      <c r="E48" t="s">
        <v>56</v>
      </c>
      <c r="F48" t="s">
        <v>15</v>
      </c>
      <c r="G48">
        <v>4</v>
      </c>
      <c r="H48">
        <v>17175.939999999999</v>
      </c>
      <c r="I48">
        <v>4340.3100000000004</v>
      </c>
      <c r="J48" t="s">
        <v>23</v>
      </c>
      <c r="K48" t="str">
        <f t="shared" si="0"/>
        <v>East</v>
      </c>
      <c r="L48" t="str">
        <f t="shared" si="1"/>
        <v>Home</v>
      </c>
      <c r="M48" t="str">
        <f t="shared" si="2"/>
        <v>Chair</v>
      </c>
      <c r="N48" t="str">
        <f t="shared" si="3"/>
        <v>OK</v>
      </c>
      <c r="O48" t="str">
        <f t="shared" si="4"/>
        <v>New</v>
      </c>
      <c r="P48" t="str">
        <f t="shared" si="5"/>
        <v>Card</v>
      </c>
      <c r="Q48">
        <f t="shared" si="6"/>
        <v>17175.939999999999</v>
      </c>
      <c r="R48">
        <f t="shared" si="7"/>
        <v>4340.3100000000004</v>
      </c>
    </row>
    <row r="49" spans="1:18">
      <c r="A49" t="s">
        <v>538</v>
      </c>
      <c r="B49" t="s">
        <v>79</v>
      </c>
      <c r="C49" t="s">
        <v>32</v>
      </c>
      <c r="D49" t="s">
        <v>13</v>
      </c>
      <c r="E49" t="s">
        <v>56</v>
      </c>
      <c r="F49" t="s">
        <v>15</v>
      </c>
      <c r="G49">
        <v>5</v>
      </c>
      <c r="H49">
        <v>23121.81</v>
      </c>
      <c r="I49">
        <v>-1142.3699999999999</v>
      </c>
      <c r="J49" t="s">
        <v>34</v>
      </c>
      <c r="K49" t="str">
        <f t="shared" si="0"/>
        <v>East</v>
      </c>
      <c r="L49" t="str">
        <f t="shared" si="1"/>
        <v>Home</v>
      </c>
      <c r="M49" t="str">
        <f t="shared" si="2"/>
        <v>Chair</v>
      </c>
      <c r="N49" t="str">
        <f t="shared" si="3"/>
        <v>OK</v>
      </c>
      <c r="O49" t="str">
        <f t="shared" si="4"/>
        <v>New</v>
      </c>
      <c r="P49" t="str">
        <f t="shared" si="5"/>
        <v>Upi</v>
      </c>
      <c r="Q49">
        <f t="shared" si="6"/>
        <v>23121.81</v>
      </c>
      <c r="R49">
        <f t="shared" si="7"/>
        <v>-1142.3699999999999</v>
      </c>
    </row>
    <row r="50" spans="1:18">
      <c r="A50" t="s">
        <v>541</v>
      </c>
      <c r="B50" t="s">
        <v>542</v>
      </c>
      <c r="C50" t="s">
        <v>32</v>
      </c>
      <c r="D50" t="s">
        <v>13</v>
      </c>
      <c r="E50" t="s">
        <v>56</v>
      </c>
      <c r="F50" t="s">
        <v>22</v>
      </c>
      <c r="G50">
        <v>5</v>
      </c>
      <c r="H50">
        <v>22862.33</v>
      </c>
      <c r="I50">
        <v>2905.45</v>
      </c>
      <c r="J50" t="s">
        <v>16</v>
      </c>
      <c r="K50" t="str">
        <f t="shared" si="0"/>
        <v>East</v>
      </c>
      <c r="L50" t="str">
        <f t="shared" si="1"/>
        <v>Home</v>
      </c>
      <c r="M50" t="str">
        <f t="shared" si="2"/>
        <v>Chair</v>
      </c>
      <c r="N50" t="str">
        <f t="shared" si="3"/>
        <v>OK</v>
      </c>
      <c r="O50" t="str">
        <f t="shared" si="4"/>
        <v>Existing</v>
      </c>
      <c r="P50" t="str">
        <f t="shared" si="5"/>
        <v>Net Banking</v>
      </c>
      <c r="Q50">
        <f t="shared" si="6"/>
        <v>22862.33</v>
      </c>
      <c r="R50">
        <f t="shared" si="7"/>
        <v>2905.45</v>
      </c>
    </row>
    <row r="51" spans="1:18">
      <c r="A51" t="s">
        <v>167</v>
      </c>
      <c r="B51" t="s">
        <v>168</v>
      </c>
      <c r="C51" t="s">
        <v>12</v>
      </c>
      <c r="D51" t="s">
        <v>13</v>
      </c>
      <c r="E51" t="s">
        <v>56</v>
      </c>
      <c r="F51" t="s">
        <v>15</v>
      </c>
      <c r="G51">
        <v>1</v>
      </c>
      <c r="H51">
        <v>4750.01</v>
      </c>
      <c r="I51">
        <v>-99.96</v>
      </c>
      <c r="J51" t="s">
        <v>29</v>
      </c>
      <c r="K51" t="str">
        <f t="shared" si="0"/>
        <v>North</v>
      </c>
      <c r="L51" t="str">
        <f t="shared" si="1"/>
        <v>Home</v>
      </c>
      <c r="M51" t="str">
        <f t="shared" si="2"/>
        <v>Chair</v>
      </c>
      <c r="N51" t="str">
        <f t="shared" si="3"/>
        <v>OK</v>
      </c>
      <c r="O51" t="str">
        <f t="shared" si="4"/>
        <v>New</v>
      </c>
      <c r="P51" t="str">
        <f t="shared" si="5"/>
        <v>Cash</v>
      </c>
      <c r="Q51">
        <f t="shared" si="6"/>
        <v>4750.01</v>
      </c>
      <c r="R51">
        <f t="shared" si="7"/>
        <v>-99.96</v>
      </c>
    </row>
    <row r="52" spans="1:18">
      <c r="A52" t="s">
        <v>281</v>
      </c>
      <c r="B52" t="s">
        <v>282</v>
      </c>
      <c r="C52" t="s">
        <v>12</v>
      </c>
      <c r="D52" t="s">
        <v>13</v>
      </c>
      <c r="E52" t="s">
        <v>56</v>
      </c>
      <c r="F52" t="s">
        <v>22</v>
      </c>
      <c r="G52">
        <v>1</v>
      </c>
      <c r="H52">
        <v>4456.8</v>
      </c>
      <c r="I52">
        <v>-1.08</v>
      </c>
      <c r="J52" t="s">
        <v>16</v>
      </c>
      <c r="K52" t="str">
        <f t="shared" si="0"/>
        <v>North</v>
      </c>
      <c r="L52" t="str">
        <f t="shared" si="1"/>
        <v>Home</v>
      </c>
      <c r="M52" t="str">
        <f t="shared" si="2"/>
        <v>Chair</v>
      </c>
      <c r="N52" t="str">
        <f t="shared" si="3"/>
        <v>OK</v>
      </c>
      <c r="O52" t="str">
        <f t="shared" si="4"/>
        <v>Existing</v>
      </c>
      <c r="P52" t="str">
        <f t="shared" si="5"/>
        <v>Net Banking</v>
      </c>
      <c r="Q52">
        <f t="shared" si="6"/>
        <v>4456.8</v>
      </c>
      <c r="R52">
        <f t="shared" si="7"/>
        <v>-1.08</v>
      </c>
    </row>
    <row r="53" spans="1:18">
      <c r="A53" t="s">
        <v>458</v>
      </c>
      <c r="B53" t="s">
        <v>144</v>
      </c>
      <c r="C53" t="s">
        <v>12</v>
      </c>
      <c r="D53" t="s">
        <v>13</v>
      </c>
      <c r="E53" t="s">
        <v>56</v>
      </c>
      <c r="F53" t="s">
        <v>15</v>
      </c>
      <c r="G53">
        <v>2</v>
      </c>
      <c r="H53">
        <v>8396.17</v>
      </c>
      <c r="I53">
        <v>1911.09</v>
      </c>
      <c r="J53" t="s">
        <v>16</v>
      </c>
      <c r="K53" t="str">
        <f t="shared" si="0"/>
        <v>North</v>
      </c>
      <c r="L53" t="str">
        <f t="shared" si="1"/>
        <v>Home</v>
      </c>
      <c r="M53" t="str">
        <f t="shared" si="2"/>
        <v>Chair</v>
      </c>
      <c r="N53" t="str">
        <f t="shared" si="3"/>
        <v>OK</v>
      </c>
      <c r="O53" t="str">
        <f t="shared" si="4"/>
        <v>New</v>
      </c>
      <c r="P53" t="str">
        <f t="shared" si="5"/>
        <v>Net Banking</v>
      </c>
      <c r="Q53">
        <f t="shared" si="6"/>
        <v>8396.17</v>
      </c>
      <c r="R53">
        <f t="shared" si="7"/>
        <v>1911.09</v>
      </c>
    </row>
    <row r="54" spans="1:18">
      <c r="A54" t="s">
        <v>543</v>
      </c>
      <c r="B54" t="s">
        <v>544</v>
      </c>
      <c r="C54" t="s">
        <v>12</v>
      </c>
      <c r="D54" t="s">
        <v>13</v>
      </c>
      <c r="E54" t="s">
        <v>56</v>
      </c>
      <c r="F54" t="s">
        <v>22</v>
      </c>
      <c r="G54">
        <v>5</v>
      </c>
      <c r="H54">
        <v>20928.349999999999</v>
      </c>
      <c r="I54">
        <v>5842.63</v>
      </c>
      <c r="J54" t="s">
        <v>16</v>
      </c>
      <c r="K54" t="str">
        <f t="shared" si="0"/>
        <v>North</v>
      </c>
      <c r="L54" t="str">
        <f t="shared" si="1"/>
        <v>Home</v>
      </c>
      <c r="M54" t="str">
        <f t="shared" si="2"/>
        <v>Chair</v>
      </c>
      <c r="N54" t="str">
        <f t="shared" si="3"/>
        <v>OK</v>
      </c>
      <c r="O54" t="str">
        <f t="shared" si="4"/>
        <v>Existing</v>
      </c>
      <c r="P54" t="str">
        <f t="shared" si="5"/>
        <v>Net Banking</v>
      </c>
      <c r="Q54">
        <f t="shared" si="6"/>
        <v>20928.349999999999</v>
      </c>
      <c r="R54">
        <f t="shared" si="7"/>
        <v>5842.63</v>
      </c>
    </row>
    <row r="55" spans="1:18">
      <c r="A55" t="s">
        <v>102</v>
      </c>
      <c r="B55" t="s">
        <v>103</v>
      </c>
      <c r="C55" t="s">
        <v>19</v>
      </c>
      <c r="D55" t="s">
        <v>13</v>
      </c>
      <c r="E55" t="s">
        <v>56</v>
      </c>
      <c r="F55" t="s">
        <v>22</v>
      </c>
      <c r="G55">
        <v>2</v>
      </c>
      <c r="H55">
        <v>8590.23</v>
      </c>
      <c r="I55">
        <v>1183.21</v>
      </c>
      <c r="J55" t="s">
        <v>16</v>
      </c>
      <c r="K55" t="str">
        <f t="shared" si="0"/>
        <v>South</v>
      </c>
      <c r="L55" t="str">
        <f t="shared" si="1"/>
        <v>Home</v>
      </c>
      <c r="M55" t="str">
        <f t="shared" si="2"/>
        <v>Chair</v>
      </c>
      <c r="N55" t="str">
        <f t="shared" si="3"/>
        <v>OK</v>
      </c>
      <c r="O55" t="str">
        <f t="shared" si="4"/>
        <v>Existing</v>
      </c>
      <c r="P55" t="str">
        <f t="shared" si="5"/>
        <v>Net Banking</v>
      </c>
      <c r="Q55">
        <f t="shared" si="6"/>
        <v>8590.23</v>
      </c>
      <c r="R55">
        <f t="shared" si="7"/>
        <v>1183.21</v>
      </c>
    </row>
    <row r="56" spans="1:18">
      <c r="A56" t="s">
        <v>341</v>
      </c>
      <c r="B56" t="s">
        <v>342</v>
      </c>
      <c r="C56" t="s">
        <v>19</v>
      </c>
      <c r="D56" t="s">
        <v>13</v>
      </c>
      <c r="E56" t="s">
        <v>56</v>
      </c>
      <c r="F56" t="s">
        <v>22</v>
      </c>
      <c r="G56">
        <v>4</v>
      </c>
      <c r="H56">
        <v>19678.57</v>
      </c>
      <c r="I56">
        <v>4212.8</v>
      </c>
      <c r="J56" t="s">
        <v>34</v>
      </c>
      <c r="K56" t="str">
        <f t="shared" si="0"/>
        <v>South</v>
      </c>
      <c r="L56" t="str">
        <f t="shared" si="1"/>
        <v>Home</v>
      </c>
      <c r="M56" t="str">
        <f t="shared" si="2"/>
        <v>Chair</v>
      </c>
      <c r="N56" t="str">
        <f t="shared" si="3"/>
        <v>OK</v>
      </c>
      <c r="O56" t="str">
        <f t="shared" si="4"/>
        <v>Existing</v>
      </c>
      <c r="P56" t="str">
        <f t="shared" si="5"/>
        <v>Upi</v>
      </c>
      <c r="Q56">
        <f t="shared" si="6"/>
        <v>19678.57</v>
      </c>
      <c r="R56">
        <f t="shared" si="7"/>
        <v>4212.8</v>
      </c>
    </row>
    <row r="57" spans="1:18">
      <c r="A57" t="s">
        <v>398</v>
      </c>
      <c r="B57" t="s">
        <v>399</v>
      </c>
      <c r="C57" t="s">
        <v>19</v>
      </c>
      <c r="D57" t="s">
        <v>13</v>
      </c>
      <c r="E57" t="s">
        <v>56</v>
      </c>
      <c r="F57" t="s">
        <v>15</v>
      </c>
      <c r="G57">
        <v>1</v>
      </c>
      <c r="H57">
        <v>4502.32</v>
      </c>
      <c r="I57">
        <v>-86.85</v>
      </c>
      <c r="J57" t="s">
        <v>29</v>
      </c>
      <c r="K57" t="str">
        <f t="shared" si="0"/>
        <v>South</v>
      </c>
      <c r="L57" t="str">
        <f t="shared" si="1"/>
        <v>Home</v>
      </c>
      <c r="M57" t="str">
        <f t="shared" si="2"/>
        <v>Chair</v>
      </c>
      <c r="N57" t="str">
        <f t="shared" si="3"/>
        <v>OK</v>
      </c>
      <c r="O57" t="str">
        <f t="shared" si="4"/>
        <v>New</v>
      </c>
      <c r="P57" t="str">
        <f t="shared" si="5"/>
        <v>Cash</v>
      </c>
      <c r="Q57">
        <f t="shared" si="6"/>
        <v>4502.32</v>
      </c>
      <c r="R57">
        <f t="shared" si="7"/>
        <v>-86.85</v>
      </c>
    </row>
    <row r="58" spans="1:18">
      <c r="A58" t="s">
        <v>438</v>
      </c>
      <c r="B58" t="s">
        <v>439</v>
      </c>
      <c r="C58" t="s">
        <v>19</v>
      </c>
      <c r="D58" t="s">
        <v>13</v>
      </c>
      <c r="E58" t="s">
        <v>56</v>
      </c>
      <c r="F58" t="s">
        <v>15</v>
      </c>
      <c r="G58">
        <v>2</v>
      </c>
      <c r="H58">
        <v>8536.42</v>
      </c>
      <c r="I58">
        <v>1375.56</v>
      </c>
      <c r="J58" t="s">
        <v>34</v>
      </c>
      <c r="K58" t="str">
        <f t="shared" si="0"/>
        <v>South</v>
      </c>
      <c r="L58" t="str">
        <f t="shared" si="1"/>
        <v>Home</v>
      </c>
      <c r="M58" t="str">
        <f t="shared" si="2"/>
        <v>Chair</v>
      </c>
      <c r="N58" t="str">
        <f t="shared" si="3"/>
        <v>OK</v>
      </c>
      <c r="O58" t="str">
        <f t="shared" si="4"/>
        <v>New</v>
      </c>
      <c r="P58" t="str">
        <f t="shared" si="5"/>
        <v>Upi</v>
      </c>
      <c r="Q58">
        <f t="shared" si="6"/>
        <v>8536.42</v>
      </c>
      <c r="R58">
        <f t="shared" si="7"/>
        <v>1375.56</v>
      </c>
    </row>
    <row r="59" spans="1:18">
      <c r="A59" t="s">
        <v>455</v>
      </c>
      <c r="B59" t="s">
        <v>456</v>
      </c>
      <c r="C59" t="s">
        <v>19</v>
      </c>
      <c r="D59" t="s">
        <v>13</v>
      </c>
      <c r="E59" t="s">
        <v>56</v>
      </c>
      <c r="F59" t="s">
        <v>15</v>
      </c>
      <c r="G59">
        <v>3</v>
      </c>
      <c r="H59">
        <v>13272.78</v>
      </c>
      <c r="I59">
        <v>1562.53</v>
      </c>
      <c r="J59" t="s">
        <v>34</v>
      </c>
      <c r="K59" t="str">
        <f t="shared" si="0"/>
        <v>South</v>
      </c>
      <c r="L59" t="str">
        <f t="shared" si="1"/>
        <v>Home</v>
      </c>
      <c r="M59" t="str">
        <f t="shared" si="2"/>
        <v>Chair</v>
      </c>
      <c r="N59" t="str">
        <f t="shared" si="3"/>
        <v>OK</v>
      </c>
      <c r="O59" t="str">
        <f t="shared" si="4"/>
        <v>New</v>
      </c>
      <c r="P59" t="str">
        <f t="shared" si="5"/>
        <v>Upi</v>
      </c>
      <c r="Q59">
        <f t="shared" si="6"/>
        <v>13272.78</v>
      </c>
      <c r="R59">
        <f t="shared" si="7"/>
        <v>1562.53</v>
      </c>
    </row>
    <row r="60" spans="1:18">
      <c r="A60" t="s">
        <v>474</v>
      </c>
      <c r="B60" t="s">
        <v>475</v>
      </c>
      <c r="C60" t="s">
        <v>19</v>
      </c>
      <c r="D60" t="s">
        <v>13</v>
      </c>
      <c r="E60" t="s">
        <v>56</v>
      </c>
      <c r="F60" t="s">
        <v>22</v>
      </c>
      <c r="G60">
        <v>3</v>
      </c>
      <c r="H60">
        <v>13709.18</v>
      </c>
      <c r="I60">
        <v>2715.98</v>
      </c>
      <c r="J60" t="s">
        <v>23</v>
      </c>
      <c r="K60" t="str">
        <f t="shared" si="0"/>
        <v>South</v>
      </c>
      <c r="L60" t="str">
        <f t="shared" si="1"/>
        <v>Home</v>
      </c>
      <c r="M60" t="str">
        <f t="shared" si="2"/>
        <v>Chair</v>
      </c>
      <c r="N60" t="str">
        <f t="shared" si="3"/>
        <v>OK</v>
      </c>
      <c r="O60" t="str">
        <f t="shared" si="4"/>
        <v>Existing</v>
      </c>
      <c r="P60" t="str">
        <f t="shared" si="5"/>
        <v>Card</v>
      </c>
      <c r="Q60">
        <f t="shared" si="6"/>
        <v>13709.18</v>
      </c>
      <c r="R60">
        <f t="shared" si="7"/>
        <v>2715.98</v>
      </c>
    </row>
    <row r="61" spans="1:18">
      <c r="A61" t="s">
        <v>476</v>
      </c>
      <c r="B61" t="s">
        <v>477</v>
      </c>
      <c r="C61" t="s">
        <v>19</v>
      </c>
      <c r="D61" t="s">
        <v>13</v>
      </c>
      <c r="E61" t="s">
        <v>56</v>
      </c>
      <c r="F61" t="s">
        <v>22</v>
      </c>
      <c r="G61">
        <v>2</v>
      </c>
      <c r="H61">
        <v>8844.41</v>
      </c>
      <c r="I61">
        <v>168.53</v>
      </c>
      <c r="J61" t="s">
        <v>16</v>
      </c>
      <c r="K61" t="str">
        <f t="shared" si="0"/>
        <v>South</v>
      </c>
      <c r="L61" t="str">
        <f t="shared" si="1"/>
        <v>Home</v>
      </c>
      <c r="M61" t="str">
        <f t="shared" si="2"/>
        <v>Chair</v>
      </c>
      <c r="N61" t="str">
        <f t="shared" si="3"/>
        <v>OK</v>
      </c>
      <c r="O61" t="str">
        <f t="shared" si="4"/>
        <v>Existing</v>
      </c>
      <c r="P61" t="str">
        <f t="shared" si="5"/>
        <v>Net Banking</v>
      </c>
      <c r="Q61">
        <f t="shared" si="6"/>
        <v>8844.41</v>
      </c>
      <c r="R61">
        <f t="shared" si="7"/>
        <v>168.53</v>
      </c>
    </row>
    <row r="62" spans="1:18">
      <c r="A62" t="s">
        <v>484</v>
      </c>
      <c r="B62" t="s">
        <v>485</v>
      </c>
      <c r="C62" t="s">
        <v>19</v>
      </c>
      <c r="D62" t="s">
        <v>13</v>
      </c>
      <c r="E62" t="s">
        <v>56</v>
      </c>
      <c r="F62" t="s">
        <v>22</v>
      </c>
      <c r="G62">
        <v>5</v>
      </c>
      <c r="H62">
        <v>20427.96</v>
      </c>
      <c r="I62">
        <v>-1098.98</v>
      </c>
      <c r="J62" t="s">
        <v>23</v>
      </c>
      <c r="K62" t="str">
        <f t="shared" si="0"/>
        <v>South</v>
      </c>
      <c r="L62" t="str">
        <f t="shared" si="1"/>
        <v>Home</v>
      </c>
      <c r="M62" t="str">
        <f t="shared" si="2"/>
        <v>Chair</v>
      </c>
      <c r="N62" t="str">
        <f t="shared" si="3"/>
        <v>OK</v>
      </c>
      <c r="O62" t="str">
        <f t="shared" si="4"/>
        <v>Existing</v>
      </c>
      <c r="P62" t="str">
        <f t="shared" si="5"/>
        <v>Card</v>
      </c>
      <c r="Q62">
        <f t="shared" si="6"/>
        <v>20427.96</v>
      </c>
      <c r="R62">
        <f t="shared" si="7"/>
        <v>-1098.98</v>
      </c>
    </row>
    <row r="63" spans="1:18">
      <c r="A63" t="s">
        <v>54</v>
      </c>
      <c r="B63" t="s">
        <v>55</v>
      </c>
      <c r="C63" t="s">
        <v>26</v>
      </c>
      <c r="D63" t="s">
        <v>13</v>
      </c>
      <c r="E63" t="s">
        <v>56</v>
      </c>
      <c r="F63" t="s">
        <v>15</v>
      </c>
      <c r="G63">
        <v>3</v>
      </c>
      <c r="H63">
        <v>14225.22</v>
      </c>
      <c r="I63">
        <v>604.04999999999995</v>
      </c>
      <c r="J63" t="s">
        <v>16</v>
      </c>
      <c r="K63" t="str">
        <f t="shared" si="0"/>
        <v>West</v>
      </c>
      <c r="L63" t="str">
        <f t="shared" si="1"/>
        <v>Home</v>
      </c>
      <c r="M63" t="str">
        <f t="shared" si="2"/>
        <v>Chair</v>
      </c>
      <c r="N63" t="str">
        <f t="shared" si="3"/>
        <v>OK</v>
      </c>
      <c r="O63" t="str">
        <f t="shared" si="4"/>
        <v>New</v>
      </c>
      <c r="P63" t="str">
        <f t="shared" si="5"/>
        <v>Net Banking</v>
      </c>
      <c r="Q63">
        <f t="shared" si="6"/>
        <v>14225.22</v>
      </c>
      <c r="R63">
        <f t="shared" si="7"/>
        <v>604.04999999999995</v>
      </c>
    </row>
    <row r="64" spans="1:18">
      <c r="A64" t="s">
        <v>86</v>
      </c>
      <c r="B64" t="s">
        <v>87</v>
      </c>
      <c r="C64" t="s">
        <v>26</v>
      </c>
      <c r="D64" t="s">
        <v>13</v>
      </c>
      <c r="E64" t="s">
        <v>56</v>
      </c>
      <c r="F64" t="s">
        <v>15</v>
      </c>
      <c r="G64">
        <v>1</v>
      </c>
      <c r="H64">
        <v>4723.18</v>
      </c>
      <c r="I64">
        <v>-280.64999999999998</v>
      </c>
      <c r="J64" t="s">
        <v>34</v>
      </c>
      <c r="K64" t="str">
        <f t="shared" si="0"/>
        <v>West</v>
      </c>
      <c r="L64" t="str">
        <f t="shared" si="1"/>
        <v>Home</v>
      </c>
      <c r="M64" t="str">
        <f t="shared" si="2"/>
        <v>Chair</v>
      </c>
      <c r="N64" t="str">
        <f t="shared" si="3"/>
        <v>OK</v>
      </c>
      <c r="O64" t="str">
        <f t="shared" si="4"/>
        <v>New</v>
      </c>
      <c r="P64" t="str">
        <f t="shared" si="5"/>
        <v>Upi</v>
      </c>
      <c r="Q64">
        <f t="shared" si="6"/>
        <v>4723.18</v>
      </c>
      <c r="R64">
        <f t="shared" si="7"/>
        <v>-280.64999999999998</v>
      </c>
    </row>
    <row r="65" spans="1:18">
      <c r="A65" t="s">
        <v>141</v>
      </c>
      <c r="B65" t="s">
        <v>142</v>
      </c>
      <c r="C65" t="s">
        <v>26</v>
      </c>
      <c r="D65" t="s">
        <v>13</v>
      </c>
      <c r="E65" t="s">
        <v>56</v>
      </c>
      <c r="F65" t="s">
        <v>15</v>
      </c>
      <c r="G65">
        <v>4</v>
      </c>
      <c r="H65">
        <v>16380.79</v>
      </c>
      <c r="I65">
        <v>159.08000000000001</v>
      </c>
      <c r="J65" t="s">
        <v>16</v>
      </c>
      <c r="K65" t="str">
        <f t="shared" si="0"/>
        <v>West</v>
      </c>
      <c r="L65" t="str">
        <f t="shared" si="1"/>
        <v>Home</v>
      </c>
      <c r="M65" t="str">
        <f t="shared" si="2"/>
        <v>Chair</v>
      </c>
      <c r="N65" t="str">
        <f t="shared" si="3"/>
        <v>OK</v>
      </c>
      <c r="O65" t="str">
        <f t="shared" si="4"/>
        <v>New</v>
      </c>
      <c r="P65" t="str">
        <f t="shared" si="5"/>
        <v>Net Banking</v>
      </c>
      <c r="Q65">
        <f t="shared" si="6"/>
        <v>16380.79</v>
      </c>
      <c r="R65">
        <f t="shared" si="7"/>
        <v>159.08000000000001</v>
      </c>
    </row>
    <row r="66" spans="1:18">
      <c r="A66" t="s">
        <v>143</v>
      </c>
      <c r="B66" t="s">
        <v>144</v>
      </c>
      <c r="C66" t="s">
        <v>26</v>
      </c>
      <c r="D66" t="s">
        <v>13</v>
      </c>
      <c r="E66" t="s">
        <v>56</v>
      </c>
      <c r="F66" t="s">
        <v>22</v>
      </c>
      <c r="G66">
        <v>5</v>
      </c>
      <c r="H66">
        <v>22929.54</v>
      </c>
      <c r="I66">
        <v>6007.87</v>
      </c>
      <c r="J66" t="s">
        <v>23</v>
      </c>
      <c r="K66" t="str">
        <f t="shared" si="0"/>
        <v>West</v>
      </c>
      <c r="L66" t="str">
        <f t="shared" si="1"/>
        <v>Home</v>
      </c>
      <c r="M66" t="str">
        <f t="shared" si="2"/>
        <v>Chair</v>
      </c>
      <c r="N66" t="str">
        <f t="shared" si="3"/>
        <v>OK</v>
      </c>
      <c r="O66" t="str">
        <f t="shared" si="4"/>
        <v>Existing</v>
      </c>
      <c r="P66" t="str">
        <f t="shared" si="5"/>
        <v>Card</v>
      </c>
      <c r="Q66">
        <f t="shared" si="6"/>
        <v>22929.54</v>
      </c>
      <c r="R66">
        <f t="shared" si="7"/>
        <v>6007.87</v>
      </c>
    </row>
    <row r="67" spans="1:18">
      <c r="A67" t="s">
        <v>211</v>
      </c>
      <c r="B67" t="s">
        <v>212</v>
      </c>
      <c r="C67" t="s">
        <v>26</v>
      </c>
      <c r="D67" t="s">
        <v>13</v>
      </c>
      <c r="E67" t="s">
        <v>56</v>
      </c>
      <c r="F67" t="s">
        <v>22</v>
      </c>
      <c r="G67">
        <v>3</v>
      </c>
      <c r="H67">
        <v>13335.71</v>
      </c>
      <c r="I67">
        <v>1183.29</v>
      </c>
      <c r="J67" t="s">
        <v>16</v>
      </c>
      <c r="K67" t="str">
        <f t="shared" ref="K67:K130" si="8">PROPER(TRIM(C67))</f>
        <v>West</v>
      </c>
      <c r="L67" t="str">
        <f t="shared" ref="L67:L130" si="9">PROPER(TRIM(D67))</f>
        <v>Home</v>
      </c>
      <c r="M67" t="str">
        <f t="shared" ref="M67:M130" si="10">PROPER(TRIM(E67))</f>
        <v>Chair</v>
      </c>
      <c r="N67" t="str">
        <f t="shared" ref="N67:N130" si="11">IF(OR(H67="",I67="",J67="",F67=""),"Review","OK")</f>
        <v>OK</v>
      </c>
      <c r="O67" t="str">
        <f t="shared" ref="O67:O130" si="12">IF(TRIM(F67)="","Review",PROPER(TRIM(F67)))</f>
        <v>Existing</v>
      </c>
      <c r="P67" t="str">
        <f t="shared" ref="P67:P130" si="13">IF(TRIM(J67)="","Review",PROPER(TRIM(J67)))</f>
        <v>Net Banking</v>
      </c>
      <c r="Q67">
        <f t="shared" ref="Q67:Q130" si="14">IF(H67="","",H67)</f>
        <v>13335.71</v>
      </c>
      <c r="R67">
        <f t="shared" ref="R67:R130" si="15">IF(I67="","",I67)</f>
        <v>1183.29</v>
      </c>
    </row>
    <row r="68" spans="1:18">
      <c r="A68" t="s">
        <v>225</v>
      </c>
      <c r="B68" t="s">
        <v>226</v>
      </c>
      <c r="C68" t="s">
        <v>26</v>
      </c>
      <c r="D68" t="s">
        <v>13</v>
      </c>
      <c r="E68" t="s">
        <v>56</v>
      </c>
      <c r="F68" t="s">
        <v>15</v>
      </c>
      <c r="G68">
        <v>2</v>
      </c>
      <c r="H68">
        <v>9377.61</v>
      </c>
      <c r="I68">
        <v>298.86</v>
      </c>
      <c r="J68" t="s">
        <v>23</v>
      </c>
      <c r="K68" t="str">
        <f t="shared" si="8"/>
        <v>West</v>
      </c>
      <c r="L68" t="str">
        <f t="shared" si="9"/>
        <v>Home</v>
      </c>
      <c r="M68" t="str">
        <f t="shared" si="10"/>
        <v>Chair</v>
      </c>
      <c r="N68" t="str">
        <f t="shared" si="11"/>
        <v>OK</v>
      </c>
      <c r="O68" t="str">
        <f t="shared" si="12"/>
        <v>New</v>
      </c>
      <c r="P68" t="str">
        <f t="shared" si="13"/>
        <v>Card</v>
      </c>
      <c r="Q68">
        <f t="shared" si="14"/>
        <v>9377.61</v>
      </c>
      <c r="R68">
        <f t="shared" si="15"/>
        <v>298.86</v>
      </c>
    </row>
    <row r="69" spans="1:18">
      <c r="A69" t="s">
        <v>360</v>
      </c>
      <c r="B69" t="s">
        <v>361</v>
      </c>
      <c r="C69" t="s">
        <v>26</v>
      </c>
      <c r="D69" t="s">
        <v>13</v>
      </c>
      <c r="E69" t="s">
        <v>56</v>
      </c>
      <c r="F69" t="s">
        <v>22</v>
      </c>
      <c r="G69">
        <v>5</v>
      </c>
      <c r="H69">
        <v>23788.86</v>
      </c>
      <c r="I69">
        <v>2444.17</v>
      </c>
      <c r="J69" t="s">
        <v>34</v>
      </c>
      <c r="K69" t="str">
        <f t="shared" si="8"/>
        <v>West</v>
      </c>
      <c r="L69" t="str">
        <f t="shared" si="9"/>
        <v>Home</v>
      </c>
      <c r="M69" t="str">
        <f t="shared" si="10"/>
        <v>Chair</v>
      </c>
      <c r="N69" t="str">
        <f t="shared" si="11"/>
        <v>OK</v>
      </c>
      <c r="O69" t="str">
        <f t="shared" si="12"/>
        <v>Existing</v>
      </c>
      <c r="P69" t="str">
        <f t="shared" si="13"/>
        <v>Upi</v>
      </c>
      <c r="Q69">
        <f t="shared" si="14"/>
        <v>23788.86</v>
      </c>
      <c r="R69">
        <f t="shared" si="15"/>
        <v>2444.17</v>
      </c>
    </row>
    <row r="70" spans="1:18">
      <c r="A70" t="s">
        <v>446</v>
      </c>
      <c r="B70" t="s">
        <v>274</v>
      </c>
      <c r="C70" t="s">
        <v>26</v>
      </c>
      <c r="D70" t="s">
        <v>13</v>
      </c>
      <c r="E70" t="s">
        <v>56</v>
      </c>
      <c r="F70" t="s">
        <v>15</v>
      </c>
      <c r="G70">
        <v>1</v>
      </c>
      <c r="H70">
        <v>4885.6099999999997</v>
      </c>
      <c r="I70">
        <v>198.43</v>
      </c>
      <c r="J70" t="s">
        <v>16</v>
      </c>
      <c r="K70" t="str">
        <f t="shared" si="8"/>
        <v>West</v>
      </c>
      <c r="L70" t="str">
        <f t="shared" si="9"/>
        <v>Home</v>
      </c>
      <c r="M70" t="str">
        <f t="shared" si="10"/>
        <v>Chair</v>
      </c>
      <c r="N70" t="str">
        <f t="shared" si="11"/>
        <v>OK</v>
      </c>
      <c r="O70" t="str">
        <f t="shared" si="12"/>
        <v>New</v>
      </c>
      <c r="P70" t="str">
        <f t="shared" si="13"/>
        <v>Net Banking</v>
      </c>
      <c r="Q70">
        <f t="shared" si="14"/>
        <v>4885.6099999999997</v>
      </c>
      <c r="R70">
        <f t="shared" si="15"/>
        <v>198.43</v>
      </c>
    </row>
    <row r="71" spans="1:18">
      <c r="A71" t="s">
        <v>499</v>
      </c>
      <c r="B71" t="s">
        <v>423</v>
      </c>
      <c r="C71" t="s">
        <v>26</v>
      </c>
      <c r="D71" t="s">
        <v>13</v>
      </c>
      <c r="E71" t="s">
        <v>56</v>
      </c>
      <c r="F71" t="s">
        <v>15</v>
      </c>
      <c r="G71">
        <v>4</v>
      </c>
      <c r="H71">
        <v>18573.419999999998</v>
      </c>
      <c r="I71">
        <v>-1380.68</v>
      </c>
      <c r="J71" t="s">
        <v>34</v>
      </c>
      <c r="K71" t="str">
        <f t="shared" si="8"/>
        <v>West</v>
      </c>
      <c r="L71" t="str">
        <f t="shared" si="9"/>
        <v>Home</v>
      </c>
      <c r="M71" t="str">
        <f t="shared" si="10"/>
        <v>Chair</v>
      </c>
      <c r="N71" t="str">
        <f t="shared" si="11"/>
        <v>OK</v>
      </c>
      <c r="O71" t="str">
        <f t="shared" si="12"/>
        <v>New</v>
      </c>
      <c r="P71" t="str">
        <f t="shared" si="13"/>
        <v>Upi</v>
      </c>
      <c r="Q71">
        <f t="shared" si="14"/>
        <v>18573.419999999998</v>
      </c>
      <c r="R71">
        <f t="shared" si="15"/>
        <v>-1380.68</v>
      </c>
    </row>
    <row r="72" spans="1:18">
      <c r="A72" t="s">
        <v>35</v>
      </c>
      <c r="B72" t="s">
        <v>36</v>
      </c>
      <c r="C72" t="s">
        <v>32</v>
      </c>
      <c r="D72" t="s">
        <v>13</v>
      </c>
      <c r="E72" t="s">
        <v>37</v>
      </c>
      <c r="F72" t="s">
        <v>22</v>
      </c>
      <c r="G72">
        <v>5</v>
      </c>
      <c r="H72">
        <v>12949.51</v>
      </c>
      <c r="I72">
        <v>3263.62</v>
      </c>
      <c r="J72" t="s">
        <v>23</v>
      </c>
      <c r="K72" t="str">
        <f t="shared" si="8"/>
        <v>East</v>
      </c>
      <c r="L72" t="str">
        <f t="shared" si="9"/>
        <v>Home</v>
      </c>
      <c r="M72" t="str">
        <f t="shared" si="10"/>
        <v>Cookware Set</v>
      </c>
      <c r="N72" t="str">
        <f t="shared" si="11"/>
        <v>OK</v>
      </c>
      <c r="O72" t="str">
        <f t="shared" si="12"/>
        <v>Existing</v>
      </c>
      <c r="P72" t="str">
        <f t="shared" si="13"/>
        <v>Card</v>
      </c>
      <c r="Q72">
        <f t="shared" si="14"/>
        <v>12949.51</v>
      </c>
      <c r="R72">
        <f t="shared" si="15"/>
        <v>3263.62</v>
      </c>
    </row>
    <row r="73" spans="1:18">
      <c r="A73" t="s">
        <v>52</v>
      </c>
      <c r="B73" t="s">
        <v>53</v>
      </c>
      <c r="C73" t="s">
        <v>32</v>
      </c>
      <c r="D73" t="s">
        <v>13</v>
      </c>
      <c r="E73" t="s">
        <v>37</v>
      </c>
      <c r="F73" t="s">
        <v>15</v>
      </c>
      <c r="G73">
        <v>5</v>
      </c>
      <c r="H73">
        <v>12777.88</v>
      </c>
      <c r="I73">
        <v>733.23</v>
      </c>
      <c r="J73" t="s">
        <v>34</v>
      </c>
      <c r="K73" t="str">
        <f t="shared" si="8"/>
        <v>East</v>
      </c>
      <c r="L73" t="str">
        <f t="shared" si="9"/>
        <v>Home</v>
      </c>
      <c r="M73" t="str">
        <f t="shared" si="10"/>
        <v>Cookware Set</v>
      </c>
      <c r="N73" t="str">
        <f t="shared" si="11"/>
        <v>OK</v>
      </c>
      <c r="O73" t="str">
        <f t="shared" si="12"/>
        <v>New</v>
      </c>
      <c r="P73" t="str">
        <f t="shared" si="13"/>
        <v>Upi</v>
      </c>
      <c r="Q73">
        <f t="shared" si="14"/>
        <v>12777.88</v>
      </c>
      <c r="R73">
        <f t="shared" si="15"/>
        <v>733.23</v>
      </c>
    </row>
    <row r="74" spans="1:18">
      <c r="A74" t="s">
        <v>145</v>
      </c>
      <c r="B74" t="s">
        <v>146</v>
      </c>
      <c r="C74" t="s">
        <v>32</v>
      </c>
      <c r="D74" t="s">
        <v>13</v>
      </c>
      <c r="E74" t="s">
        <v>37</v>
      </c>
      <c r="F74" t="s">
        <v>22</v>
      </c>
      <c r="G74">
        <v>4</v>
      </c>
      <c r="H74">
        <v>10660.59</v>
      </c>
      <c r="I74">
        <v>96.01</v>
      </c>
      <c r="J74" t="s">
        <v>23</v>
      </c>
      <c r="K74" t="str">
        <f t="shared" si="8"/>
        <v>East</v>
      </c>
      <c r="L74" t="str">
        <f t="shared" si="9"/>
        <v>Home</v>
      </c>
      <c r="M74" t="str">
        <f t="shared" si="10"/>
        <v>Cookware Set</v>
      </c>
      <c r="N74" t="str">
        <f t="shared" si="11"/>
        <v>OK</v>
      </c>
      <c r="O74" t="str">
        <f t="shared" si="12"/>
        <v>Existing</v>
      </c>
      <c r="P74" t="str">
        <f t="shared" si="13"/>
        <v>Card</v>
      </c>
      <c r="Q74">
        <f t="shared" si="14"/>
        <v>10660.59</v>
      </c>
      <c r="R74">
        <f t="shared" si="15"/>
        <v>96.01</v>
      </c>
    </row>
    <row r="75" spans="1:18">
      <c r="A75" t="s">
        <v>175</v>
      </c>
      <c r="B75" t="s">
        <v>176</v>
      </c>
      <c r="C75" t="s">
        <v>32</v>
      </c>
      <c r="D75" t="s">
        <v>13</v>
      </c>
      <c r="E75" t="s">
        <v>37</v>
      </c>
      <c r="F75" t="s">
        <v>22</v>
      </c>
      <c r="G75">
        <v>2</v>
      </c>
      <c r="H75">
        <v>5527.75</v>
      </c>
      <c r="I75">
        <v>1018.03</v>
      </c>
      <c r="J75" t="s">
        <v>16</v>
      </c>
      <c r="K75" t="str">
        <f t="shared" si="8"/>
        <v>East</v>
      </c>
      <c r="L75" t="str">
        <f t="shared" si="9"/>
        <v>Home</v>
      </c>
      <c r="M75" t="str">
        <f t="shared" si="10"/>
        <v>Cookware Set</v>
      </c>
      <c r="N75" t="str">
        <f t="shared" si="11"/>
        <v>OK</v>
      </c>
      <c r="O75" t="str">
        <f t="shared" si="12"/>
        <v>Existing</v>
      </c>
      <c r="P75" t="str">
        <f t="shared" si="13"/>
        <v>Net Banking</v>
      </c>
      <c r="Q75">
        <f t="shared" si="14"/>
        <v>5527.75</v>
      </c>
      <c r="R75">
        <f t="shared" si="15"/>
        <v>1018.03</v>
      </c>
    </row>
    <row r="76" spans="1:18">
      <c r="A76" t="s">
        <v>189</v>
      </c>
      <c r="B76" t="s">
        <v>190</v>
      </c>
      <c r="C76" t="s">
        <v>32</v>
      </c>
      <c r="D76" t="s">
        <v>13</v>
      </c>
      <c r="E76" t="s">
        <v>37</v>
      </c>
      <c r="F76" t="s">
        <v>15</v>
      </c>
      <c r="G76">
        <v>3</v>
      </c>
      <c r="H76">
        <v>8777.2999999999993</v>
      </c>
      <c r="I76">
        <v>2383.73</v>
      </c>
      <c r="J76" t="s">
        <v>23</v>
      </c>
      <c r="K76" t="str">
        <f t="shared" si="8"/>
        <v>East</v>
      </c>
      <c r="L76" t="str">
        <f t="shared" si="9"/>
        <v>Home</v>
      </c>
      <c r="M76" t="str">
        <f t="shared" si="10"/>
        <v>Cookware Set</v>
      </c>
      <c r="N76" t="str">
        <f t="shared" si="11"/>
        <v>OK</v>
      </c>
      <c r="O76" t="str">
        <f t="shared" si="12"/>
        <v>New</v>
      </c>
      <c r="P76" t="str">
        <f t="shared" si="13"/>
        <v>Card</v>
      </c>
      <c r="Q76">
        <f t="shared" si="14"/>
        <v>8777.2999999999993</v>
      </c>
      <c r="R76">
        <f t="shared" si="15"/>
        <v>2383.73</v>
      </c>
    </row>
    <row r="77" spans="1:18">
      <c r="A77" t="s">
        <v>316</v>
      </c>
      <c r="B77" t="s">
        <v>317</v>
      </c>
      <c r="C77" t="s">
        <v>32</v>
      </c>
      <c r="D77" t="s">
        <v>13</v>
      </c>
      <c r="E77" t="s">
        <v>37</v>
      </c>
      <c r="F77" t="s">
        <v>22</v>
      </c>
      <c r="G77">
        <v>4</v>
      </c>
      <c r="H77">
        <v>11769.96</v>
      </c>
      <c r="I77">
        <v>2278.14</v>
      </c>
      <c r="J77" t="s">
        <v>23</v>
      </c>
      <c r="K77" t="str">
        <f t="shared" si="8"/>
        <v>East</v>
      </c>
      <c r="L77" t="str">
        <f t="shared" si="9"/>
        <v>Home</v>
      </c>
      <c r="M77" t="str">
        <f t="shared" si="10"/>
        <v>Cookware Set</v>
      </c>
      <c r="N77" t="str">
        <f t="shared" si="11"/>
        <v>OK</v>
      </c>
      <c r="O77" t="str">
        <f t="shared" si="12"/>
        <v>Existing</v>
      </c>
      <c r="P77" t="str">
        <f t="shared" si="13"/>
        <v>Card</v>
      </c>
      <c r="Q77">
        <f t="shared" si="14"/>
        <v>11769.96</v>
      </c>
      <c r="R77">
        <f t="shared" si="15"/>
        <v>2278.14</v>
      </c>
    </row>
    <row r="78" spans="1:18">
      <c r="A78" t="s">
        <v>322</v>
      </c>
      <c r="B78" t="s">
        <v>323</v>
      </c>
      <c r="C78" t="s">
        <v>32</v>
      </c>
      <c r="D78" t="s">
        <v>13</v>
      </c>
      <c r="E78" t="s">
        <v>37</v>
      </c>
      <c r="F78" t="s">
        <v>15</v>
      </c>
      <c r="G78">
        <v>5</v>
      </c>
      <c r="H78">
        <v>13022.41</v>
      </c>
      <c r="I78">
        <v>-751.72</v>
      </c>
      <c r="J78" t="s">
        <v>23</v>
      </c>
      <c r="K78" t="str">
        <f t="shared" si="8"/>
        <v>East</v>
      </c>
      <c r="L78" t="str">
        <f t="shared" si="9"/>
        <v>Home</v>
      </c>
      <c r="M78" t="str">
        <f t="shared" si="10"/>
        <v>Cookware Set</v>
      </c>
      <c r="N78" t="str">
        <f t="shared" si="11"/>
        <v>OK</v>
      </c>
      <c r="O78" t="str">
        <f t="shared" si="12"/>
        <v>New</v>
      </c>
      <c r="P78" t="str">
        <f t="shared" si="13"/>
        <v>Card</v>
      </c>
      <c r="Q78">
        <f t="shared" si="14"/>
        <v>13022.41</v>
      </c>
      <c r="R78">
        <f t="shared" si="15"/>
        <v>-751.72</v>
      </c>
    </row>
    <row r="79" spans="1:18">
      <c r="A79" t="s">
        <v>362</v>
      </c>
      <c r="B79" t="s">
        <v>363</v>
      </c>
      <c r="C79" t="s">
        <v>32</v>
      </c>
      <c r="D79" t="s">
        <v>13</v>
      </c>
      <c r="E79" t="s">
        <v>37</v>
      </c>
      <c r="F79" t="s">
        <v>15</v>
      </c>
      <c r="G79">
        <v>3</v>
      </c>
      <c r="H79">
        <v>7986.13</v>
      </c>
      <c r="I79">
        <v>-592.19000000000005</v>
      </c>
      <c r="J79" t="s">
        <v>34</v>
      </c>
      <c r="K79" t="str">
        <f t="shared" si="8"/>
        <v>East</v>
      </c>
      <c r="L79" t="str">
        <f t="shared" si="9"/>
        <v>Home</v>
      </c>
      <c r="M79" t="str">
        <f t="shared" si="10"/>
        <v>Cookware Set</v>
      </c>
      <c r="N79" t="str">
        <f t="shared" si="11"/>
        <v>OK</v>
      </c>
      <c r="O79" t="str">
        <f t="shared" si="12"/>
        <v>New</v>
      </c>
      <c r="P79" t="str">
        <f t="shared" si="13"/>
        <v>Upi</v>
      </c>
      <c r="Q79">
        <f t="shared" si="14"/>
        <v>7986.13</v>
      </c>
      <c r="R79">
        <f t="shared" si="15"/>
        <v>-592.19000000000005</v>
      </c>
    </row>
    <row r="80" spans="1:18">
      <c r="A80" t="s">
        <v>378</v>
      </c>
      <c r="B80" t="s">
        <v>172</v>
      </c>
      <c r="C80" t="s">
        <v>32</v>
      </c>
      <c r="D80" t="s">
        <v>13</v>
      </c>
      <c r="E80" t="s">
        <v>37</v>
      </c>
      <c r="F80" t="s">
        <v>22</v>
      </c>
      <c r="G80">
        <v>2</v>
      </c>
      <c r="H80">
        <v>5812.54</v>
      </c>
      <c r="I80">
        <v>270.61</v>
      </c>
      <c r="J80" t="s">
        <v>29</v>
      </c>
      <c r="K80" t="str">
        <f t="shared" si="8"/>
        <v>East</v>
      </c>
      <c r="L80" t="str">
        <f t="shared" si="9"/>
        <v>Home</v>
      </c>
      <c r="M80" t="str">
        <f t="shared" si="10"/>
        <v>Cookware Set</v>
      </c>
      <c r="N80" t="str">
        <f t="shared" si="11"/>
        <v>OK</v>
      </c>
      <c r="O80" t="str">
        <f t="shared" si="12"/>
        <v>Existing</v>
      </c>
      <c r="P80" t="str">
        <f t="shared" si="13"/>
        <v>Cash</v>
      </c>
      <c r="Q80">
        <f t="shared" si="14"/>
        <v>5812.54</v>
      </c>
      <c r="R80">
        <f t="shared" si="15"/>
        <v>270.61</v>
      </c>
    </row>
    <row r="81" spans="1:18">
      <c r="A81" t="s">
        <v>381</v>
      </c>
      <c r="B81" t="s">
        <v>93</v>
      </c>
      <c r="C81" t="s">
        <v>32</v>
      </c>
      <c r="D81" t="s">
        <v>13</v>
      </c>
      <c r="E81" t="s">
        <v>37</v>
      </c>
      <c r="F81" t="s">
        <v>22</v>
      </c>
      <c r="G81">
        <v>1</v>
      </c>
      <c r="H81">
        <v>2590.69</v>
      </c>
      <c r="I81">
        <v>12.85</v>
      </c>
      <c r="J81" t="s">
        <v>16</v>
      </c>
      <c r="K81" t="str">
        <f t="shared" si="8"/>
        <v>East</v>
      </c>
      <c r="L81" t="str">
        <f t="shared" si="9"/>
        <v>Home</v>
      </c>
      <c r="M81" t="str">
        <f t="shared" si="10"/>
        <v>Cookware Set</v>
      </c>
      <c r="N81" t="str">
        <f t="shared" si="11"/>
        <v>OK</v>
      </c>
      <c r="O81" t="str">
        <f t="shared" si="12"/>
        <v>Existing</v>
      </c>
      <c r="P81" t="str">
        <f t="shared" si="13"/>
        <v>Net Banking</v>
      </c>
      <c r="Q81">
        <f t="shared" si="14"/>
        <v>2590.69</v>
      </c>
      <c r="R81">
        <f t="shared" si="15"/>
        <v>12.85</v>
      </c>
    </row>
    <row r="82" spans="1:18">
      <c r="A82" t="s">
        <v>421</v>
      </c>
      <c r="B82" t="s">
        <v>377</v>
      </c>
      <c r="C82" t="s">
        <v>32</v>
      </c>
      <c r="D82" t="s">
        <v>13</v>
      </c>
      <c r="E82" t="s">
        <v>37</v>
      </c>
      <c r="F82" t="s">
        <v>15</v>
      </c>
      <c r="G82">
        <v>2</v>
      </c>
      <c r="H82">
        <v>5719.01</v>
      </c>
      <c r="I82">
        <v>603.82000000000005</v>
      </c>
      <c r="J82" t="s">
        <v>16</v>
      </c>
      <c r="K82" t="str">
        <f t="shared" si="8"/>
        <v>East</v>
      </c>
      <c r="L82" t="str">
        <f t="shared" si="9"/>
        <v>Home</v>
      </c>
      <c r="M82" t="str">
        <f t="shared" si="10"/>
        <v>Cookware Set</v>
      </c>
      <c r="N82" t="str">
        <f t="shared" si="11"/>
        <v>OK</v>
      </c>
      <c r="O82" t="str">
        <f t="shared" si="12"/>
        <v>New</v>
      </c>
      <c r="P82" t="str">
        <f t="shared" si="13"/>
        <v>Net Banking</v>
      </c>
      <c r="Q82">
        <f t="shared" si="14"/>
        <v>5719.01</v>
      </c>
      <c r="R82">
        <f t="shared" si="15"/>
        <v>603.82000000000005</v>
      </c>
    </row>
    <row r="83" spans="1:18">
      <c r="A83" t="s">
        <v>437</v>
      </c>
      <c r="B83" t="s">
        <v>48</v>
      </c>
      <c r="C83" t="s">
        <v>32</v>
      </c>
      <c r="D83" t="s">
        <v>13</v>
      </c>
      <c r="E83" t="s">
        <v>37</v>
      </c>
      <c r="F83" t="s">
        <v>15</v>
      </c>
      <c r="G83">
        <v>2</v>
      </c>
      <c r="H83">
        <v>5266.32</v>
      </c>
      <c r="I83">
        <v>599.77</v>
      </c>
      <c r="J83" t="s">
        <v>34</v>
      </c>
      <c r="K83" t="str">
        <f t="shared" si="8"/>
        <v>East</v>
      </c>
      <c r="L83" t="str">
        <f t="shared" si="9"/>
        <v>Home</v>
      </c>
      <c r="M83" t="str">
        <f t="shared" si="10"/>
        <v>Cookware Set</v>
      </c>
      <c r="N83" t="str">
        <f t="shared" si="11"/>
        <v>OK</v>
      </c>
      <c r="O83" t="str">
        <f t="shared" si="12"/>
        <v>New</v>
      </c>
      <c r="P83" t="str">
        <f t="shared" si="13"/>
        <v>Upi</v>
      </c>
      <c r="Q83">
        <f t="shared" si="14"/>
        <v>5266.32</v>
      </c>
      <c r="R83">
        <f t="shared" si="15"/>
        <v>599.77</v>
      </c>
    </row>
    <row r="84" spans="1:18">
      <c r="A84" t="s">
        <v>442</v>
      </c>
      <c r="B84" t="s">
        <v>206</v>
      </c>
      <c r="C84" t="s">
        <v>32</v>
      </c>
      <c r="D84" t="s">
        <v>13</v>
      </c>
      <c r="E84" t="s">
        <v>37</v>
      </c>
      <c r="F84" t="s">
        <v>22</v>
      </c>
      <c r="G84">
        <v>4</v>
      </c>
      <c r="H84">
        <v>11537.21</v>
      </c>
      <c r="I84">
        <v>2216.62</v>
      </c>
      <c r="J84" t="s">
        <v>34</v>
      </c>
      <c r="K84" t="str">
        <f t="shared" si="8"/>
        <v>East</v>
      </c>
      <c r="L84" t="str">
        <f t="shared" si="9"/>
        <v>Home</v>
      </c>
      <c r="M84" t="str">
        <f t="shared" si="10"/>
        <v>Cookware Set</v>
      </c>
      <c r="N84" t="str">
        <f t="shared" si="11"/>
        <v>OK</v>
      </c>
      <c r="O84" t="str">
        <f t="shared" si="12"/>
        <v>Existing</v>
      </c>
      <c r="P84" t="str">
        <f t="shared" si="13"/>
        <v>Upi</v>
      </c>
      <c r="Q84">
        <f t="shared" si="14"/>
        <v>11537.21</v>
      </c>
      <c r="R84">
        <f t="shared" si="15"/>
        <v>2216.62</v>
      </c>
    </row>
    <row r="85" spans="1:18">
      <c r="A85" t="s">
        <v>481</v>
      </c>
      <c r="B85" t="s">
        <v>482</v>
      </c>
      <c r="C85" t="s">
        <v>32</v>
      </c>
      <c r="D85" t="s">
        <v>13</v>
      </c>
      <c r="E85" t="s">
        <v>37</v>
      </c>
      <c r="F85" t="s">
        <v>15</v>
      </c>
      <c r="G85">
        <v>4</v>
      </c>
      <c r="H85">
        <v>11328.32</v>
      </c>
      <c r="I85">
        <v>-359.41</v>
      </c>
      <c r="J85" t="s">
        <v>29</v>
      </c>
      <c r="K85" t="str">
        <f t="shared" si="8"/>
        <v>East</v>
      </c>
      <c r="L85" t="str">
        <f t="shared" si="9"/>
        <v>Home</v>
      </c>
      <c r="M85" t="str">
        <f t="shared" si="10"/>
        <v>Cookware Set</v>
      </c>
      <c r="N85" t="str">
        <f t="shared" si="11"/>
        <v>OK</v>
      </c>
      <c r="O85" t="str">
        <f t="shared" si="12"/>
        <v>New</v>
      </c>
      <c r="P85" t="str">
        <f t="shared" si="13"/>
        <v>Cash</v>
      </c>
      <c r="Q85">
        <f t="shared" si="14"/>
        <v>11328.32</v>
      </c>
      <c r="R85">
        <f t="shared" si="15"/>
        <v>-359.41</v>
      </c>
    </row>
    <row r="86" spans="1:18">
      <c r="A86" t="s">
        <v>78</v>
      </c>
      <c r="B86" t="s">
        <v>79</v>
      </c>
      <c r="C86" t="s">
        <v>12</v>
      </c>
      <c r="D86" t="s">
        <v>13</v>
      </c>
      <c r="E86" t="s">
        <v>37</v>
      </c>
      <c r="F86" t="s">
        <v>22</v>
      </c>
      <c r="G86">
        <v>2</v>
      </c>
      <c r="H86">
        <v>5512.51</v>
      </c>
      <c r="I86">
        <v>111.77</v>
      </c>
      <c r="J86" t="s">
        <v>34</v>
      </c>
      <c r="K86" t="str">
        <f t="shared" si="8"/>
        <v>North</v>
      </c>
      <c r="L86" t="str">
        <f t="shared" si="9"/>
        <v>Home</v>
      </c>
      <c r="M86" t="str">
        <f t="shared" si="10"/>
        <v>Cookware Set</v>
      </c>
      <c r="N86" t="str">
        <f t="shared" si="11"/>
        <v>OK</v>
      </c>
      <c r="O86" t="str">
        <f t="shared" si="12"/>
        <v>Existing</v>
      </c>
      <c r="P86" t="str">
        <f t="shared" si="13"/>
        <v>Upi</v>
      </c>
      <c r="Q86">
        <f t="shared" si="14"/>
        <v>5512.51</v>
      </c>
      <c r="R86">
        <f t="shared" si="15"/>
        <v>111.77</v>
      </c>
    </row>
    <row r="87" spans="1:18">
      <c r="A87" t="s">
        <v>151</v>
      </c>
      <c r="B87" t="s">
        <v>152</v>
      </c>
      <c r="C87" t="s">
        <v>12</v>
      </c>
      <c r="D87" t="s">
        <v>13</v>
      </c>
      <c r="E87" t="s">
        <v>37</v>
      </c>
      <c r="F87" t="s">
        <v>22</v>
      </c>
      <c r="G87">
        <v>4</v>
      </c>
      <c r="H87">
        <v>10219.48</v>
      </c>
      <c r="I87">
        <v>2246.66</v>
      </c>
      <c r="J87" t="s">
        <v>16</v>
      </c>
      <c r="K87" t="str">
        <f t="shared" si="8"/>
        <v>North</v>
      </c>
      <c r="L87" t="str">
        <f t="shared" si="9"/>
        <v>Home</v>
      </c>
      <c r="M87" t="str">
        <f t="shared" si="10"/>
        <v>Cookware Set</v>
      </c>
      <c r="N87" t="str">
        <f t="shared" si="11"/>
        <v>OK</v>
      </c>
      <c r="O87" t="str">
        <f t="shared" si="12"/>
        <v>Existing</v>
      </c>
      <c r="P87" t="str">
        <f t="shared" si="13"/>
        <v>Net Banking</v>
      </c>
      <c r="Q87">
        <f t="shared" si="14"/>
        <v>10219.48</v>
      </c>
      <c r="R87">
        <f t="shared" si="15"/>
        <v>2246.66</v>
      </c>
    </row>
    <row r="88" spans="1:18">
      <c r="A88" t="s">
        <v>343</v>
      </c>
      <c r="B88" t="s">
        <v>344</v>
      </c>
      <c r="C88" t="s">
        <v>12</v>
      </c>
      <c r="D88" t="s">
        <v>13</v>
      </c>
      <c r="E88" t="s">
        <v>37</v>
      </c>
      <c r="F88" t="s">
        <v>22</v>
      </c>
      <c r="G88">
        <v>3</v>
      </c>
      <c r="H88">
        <v>8491.6299999999992</v>
      </c>
      <c r="I88">
        <v>-365.71</v>
      </c>
      <c r="J88" t="s">
        <v>34</v>
      </c>
      <c r="K88" t="str">
        <f t="shared" si="8"/>
        <v>North</v>
      </c>
      <c r="L88" t="str">
        <f t="shared" si="9"/>
        <v>Home</v>
      </c>
      <c r="M88" t="str">
        <f t="shared" si="10"/>
        <v>Cookware Set</v>
      </c>
      <c r="N88" t="str">
        <f t="shared" si="11"/>
        <v>OK</v>
      </c>
      <c r="O88" t="str">
        <f t="shared" si="12"/>
        <v>Existing</v>
      </c>
      <c r="P88" t="str">
        <f t="shared" si="13"/>
        <v>Upi</v>
      </c>
      <c r="Q88">
        <f t="shared" si="14"/>
        <v>8491.6299999999992</v>
      </c>
      <c r="R88">
        <f t="shared" si="15"/>
        <v>-365.71</v>
      </c>
    </row>
    <row r="89" spans="1:18">
      <c r="A89" t="s">
        <v>457</v>
      </c>
      <c r="B89" t="s">
        <v>158</v>
      </c>
      <c r="C89" t="s">
        <v>12</v>
      </c>
      <c r="D89" t="s">
        <v>13</v>
      </c>
      <c r="E89" t="s">
        <v>37</v>
      </c>
      <c r="F89" t="s">
        <v>15</v>
      </c>
      <c r="G89">
        <v>5</v>
      </c>
      <c r="H89">
        <v>14570.55</v>
      </c>
      <c r="I89">
        <v>-755.96</v>
      </c>
      <c r="J89" t="s">
        <v>23</v>
      </c>
      <c r="K89" t="str">
        <f t="shared" si="8"/>
        <v>North</v>
      </c>
      <c r="L89" t="str">
        <f t="shared" si="9"/>
        <v>Home</v>
      </c>
      <c r="M89" t="str">
        <f t="shared" si="10"/>
        <v>Cookware Set</v>
      </c>
      <c r="N89" t="str">
        <f t="shared" si="11"/>
        <v>OK</v>
      </c>
      <c r="O89" t="str">
        <f t="shared" si="12"/>
        <v>New</v>
      </c>
      <c r="P89" t="str">
        <f t="shared" si="13"/>
        <v>Card</v>
      </c>
      <c r="Q89">
        <f t="shared" si="14"/>
        <v>14570.55</v>
      </c>
      <c r="R89">
        <f t="shared" si="15"/>
        <v>-755.96</v>
      </c>
    </row>
    <row r="90" spans="1:18">
      <c r="A90" t="s">
        <v>539</v>
      </c>
      <c r="B90" t="s">
        <v>540</v>
      </c>
      <c r="C90" t="s">
        <v>12</v>
      </c>
      <c r="D90" t="s">
        <v>13</v>
      </c>
      <c r="E90" t="s">
        <v>37</v>
      </c>
      <c r="F90" t="s">
        <v>22</v>
      </c>
      <c r="G90">
        <v>3</v>
      </c>
      <c r="H90">
        <v>9182.4</v>
      </c>
      <c r="I90">
        <v>688.35</v>
      </c>
      <c r="J90" t="s">
        <v>23</v>
      </c>
      <c r="K90" t="str">
        <f t="shared" si="8"/>
        <v>North</v>
      </c>
      <c r="L90" t="str">
        <f t="shared" si="9"/>
        <v>Home</v>
      </c>
      <c r="M90" t="str">
        <f t="shared" si="10"/>
        <v>Cookware Set</v>
      </c>
      <c r="N90" t="str">
        <f t="shared" si="11"/>
        <v>OK</v>
      </c>
      <c r="O90" t="str">
        <f t="shared" si="12"/>
        <v>Existing</v>
      </c>
      <c r="P90" t="str">
        <f t="shared" si="13"/>
        <v>Card</v>
      </c>
      <c r="Q90">
        <f t="shared" si="14"/>
        <v>9182.4</v>
      </c>
      <c r="R90">
        <f t="shared" si="15"/>
        <v>688.35</v>
      </c>
    </row>
    <row r="91" spans="1:18">
      <c r="A91" t="s">
        <v>169</v>
      </c>
      <c r="B91" t="s">
        <v>170</v>
      </c>
      <c r="C91" t="s">
        <v>19</v>
      </c>
      <c r="D91" t="s">
        <v>13</v>
      </c>
      <c r="E91" t="s">
        <v>37</v>
      </c>
      <c r="F91" t="s">
        <v>15</v>
      </c>
      <c r="G91">
        <v>4</v>
      </c>
      <c r="H91">
        <v>12188.89</v>
      </c>
      <c r="I91">
        <v>-104.84</v>
      </c>
      <c r="J91" t="s">
        <v>29</v>
      </c>
      <c r="K91" t="str">
        <f t="shared" si="8"/>
        <v>South</v>
      </c>
      <c r="L91" t="str">
        <f t="shared" si="9"/>
        <v>Home</v>
      </c>
      <c r="M91" t="str">
        <f t="shared" si="10"/>
        <v>Cookware Set</v>
      </c>
      <c r="N91" t="str">
        <f t="shared" si="11"/>
        <v>OK</v>
      </c>
      <c r="O91" t="str">
        <f t="shared" si="12"/>
        <v>New</v>
      </c>
      <c r="P91" t="str">
        <f t="shared" si="13"/>
        <v>Cash</v>
      </c>
      <c r="Q91">
        <f t="shared" si="14"/>
        <v>12188.89</v>
      </c>
      <c r="R91">
        <f t="shared" si="15"/>
        <v>-104.84</v>
      </c>
    </row>
    <row r="92" spans="1:18">
      <c r="A92" t="s">
        <v>236</v>
      </c>
      <c r="B92" t="s">
        <v>176</v>
      </c>
      <c r="C92" t="s">
        <v>19</v>
      </c>
      <c r="D92" t="s">
        <v>13</v>
      </c>
      <c r="E92" t="s">
        <v>37</v>
      </c>
      <c r="F92" t="s">
        <v>22</v>
      </c>
      <c r="G92">
        <v>4</v>
      </c>
      <c r="H92">
        <v>12294.05</v>
      </c>
      <c r="I92">
        <v>2523.5</v>
      </c>
      <c r="J92" t="s">
        <v>34</v>
      </c>
      <c r="K92" t="str">
        <f t="shared" si="8"/>
        <v>South</v>
      </c>
      <c r="L92" t="str">
        <f t="shared" si="9"/>
        <v>Home</v>
      </c>
      <c r="M92" t="str">
        <f t="shared" si="10"/>
        <v>Cookware Set</v>
      </c>
      <c r="N92" t="str">
        <f t="shared" si="11"/>
        <v>OK</v>
      </c>
      <c r="O92" t="str">
        <f t="shared" si="12"/>
        <v>Existing</v>
      </c>
      <c r="P92" t="str">
        <f t="shared" si="13"/>
        <v>Upi</v>
      </c>
      <c r="Q92">
        <f t="shared" si="14"/>
        <v>12294.05</v>
      </c>
      <c r="R92">
        <f t="shared" si="15"/>
        <v>2523.5</v>
      </c>
    </row>
    <row r="93" spans="1:18">
      <c r="A93" t="s">
        <v>310</v>
      </c>
      <c r="B93" t="s">
        <v>311</v>
      </c>
      <c r="C93" t="s">
        <v>19</v>
      </c>
      <c r="D93" t="s">
        <v>13</v>
      </c>
      <c r="E93" t="s">
        <v>37</v>
      </c>
      <c r="F93" t="s">
        <v>22</v>
      </c>
      <c r="G93">
        <v>3</v>
      </c>
      <c r="H93">
        <v>7753.49</v>
      </c>
      <c r="I93">
        <v>-562.05999999999995</v>
      </c>
      <c r="J93" t="s">
        <v>29</v>
      </c>
      <c r="K93" t="str">
        <f t="shared" si="8"/>
        <v>South</v>
      </c>
      <c r="L93" t="str">
        <f t="shared" si="9"/>
        <v>Home</v>
      </c>
      <c r="M93" t="str">
        <f t="shared" si="10"/>
        <v>Cookware Set</v>
      </c>
      <c r="N93" t="str">
        <f t="shared" si="11"/>
        <v>OK</v>
      </c>
      <c r="O93" t="str">
        <f t="shared" si="12"/>
        <v>Existing</v>
      </c>
      <c r="P93" t="str">
        <f t="shared" si="13"/>
        <v>Cash</v>
      </c>
      <c r="Q93">
        <f t="shared" si="14"/>
        <v>7753.49</v>
      </c>
      <c r="R93">
        <f t="shared" si="15"/>
        <v>-562.05999999999995</v>
      </c>
    </row>
    <row r="94" spans="1:18">
      <c r="A94" t="s">
        <v>337</v>
      </c>
      <c r="B94" t="s">
        <v>338</v>
      </c>
      <c r="C94" t="s">
        <v>19</v>
      </c>
      <c r="D94" t="s">
        <v>13</v>
      </c>
      <c r="E94" t="s">
        <v>37</v>
      </c>
      <c r="F94" t="s">
        <v>22</v>
      </c>
      <c r="G94">
        <v>2</v>
      </c>
      <c r="H94">
        <v>5221.72</v>
      </c>
      <c r="I94">
        <v>1145.04</v>
      </c>
      <c r="J94" t="s">
        <v>34</v>
      </c>
      <c r="K94" t="str">
        <f t="shared" si="8"/>
        <v>South</v>
      </c>
      <c r="L94" t="str">
        <f t="shared" si="9"/>
        <v>Home</v>
      </c>
      <c r="M94" t="str">
        <f t="shared" si="10"/>
        <v>Cookware Set</v>
      </c>
      <c r="N94" t="str">
        <f t="shared" si="11"/>
        <v>OK</v>
      </c>
      <c r="O94" t="str">
        <f t="shared" si="12"/>
        <v>Existing</v>
      </c>
      <c r="P94" t="str">
        <f t="shared" si="13"/>
        <v>Upi</v>
      </c>
      <c r="Q94">
        <f t="shared" si="14"/>
        <v>5221.72</v>
      </c>
      <c r="R94">
        <f t="shared" si="15"/>
        <v>1145.04</v>
      </c>
    </row>
    <row r="95" spans="1:18">
      <c r="A95" t="s">
        <v>460</v>
      </c>
      <c r="B95" t="s">
        <v>83</v>
      </c>
      <c r="C95" t="s">
        <v>19</v>
      </c>
      <c r="D95" t="s">
        <v>13</v>
      </c>
      <c r="E95" t="s">
        <v>37</v>
      </c>
      <c r="F95" t="s">
        <v>15</v>
      </c>
      <c r="G95">
        <v>3</v>
      </c>
      <c r="H95">
        <v>8775.11</v>
      </c>
      <c r="I95">
        <v>548.80999999999995</v>
      </c>
      <c r="J95" t="s">
        <v>34</v>
      </c>
      <c r="K95" t="str">
        <f t="shared" si="8"/>
        <v>South</v>
      </c>
      <c r="L95" t="str">
        <f t="shared" si="9"/>
        <v>Home</v>
      </c>
      <c r="M95" t="str">
        <f t="shared" si="10"/>
        <v>Cookware Set</v>
      </c>
      <c r="N95" t="str">
        <f t="shared" si="11"/>
        <v>OK</v>
      </c>
      <c r="O95" t="str">
        <f t="shared" si="12"/>
        <v>New</v>
      </c>
      <c r="P95" t="str">
        <f t="shared" si="13"/>
        <v>Upi</v>
      </c>
      <c r="Q95">
        <f t="shared" si="14"/>
        <v>8775.11</v>
      </c>
      <c r="R95">
        <f t="shared" si="15"/>
        <v>548.80999999999995</v>
      </c>
    </row>
    <row r="96" spans="1:18">
      <c r="A96" t="s">
        <v>72</v>
      </c>
      <c r="B96" t="s">
        <v>73</v>
      </c>
      <c r="C96" t="s">
        <v>26</v>
      </c>
      <c r="D96" t="s">
        <v>13</v>
      </c>
      <c r="E96" t="s">
        <v>37</v>
      </c>
      <c r="F96" t="s">
        <v>15</v>
      </c>
      <c r="G96">
        <v>2</v>
      </c>
      <c r="H96">
        <v>5643.94</v>
      </c>
      <c r="I96">
        <v>1018.21</v>
      </c>
      <c r="J96" t="s">
        <v>16</v>
      </c>
      <c r="K96" t="str">
        <f t="shared" si="8"/>
        <v>West</v>
      </c>
      <c r="L96" t="str">
        <f t="shared" si="9"/>
        <v>Home</v>
      </c>
      <c r="M96" t="str">
        <f t="shared" si="10"/>
        <v>Cookware Set</v>
      </c>
      <c r="N96" t="str">
        <f t="shared" si="11"/>
        <v>OK</v>
      </c>
      <c r="O96" t="str">
        <f t="shared" si="12"/>
        <v>New</v>
      </c>
      <c r="P96" t="str">
        <f t="shared" si="13"/>
        <v>Net Banking</v>
      </c>
      <c r="Q96">
        <f t="shared" si="14"/>
        <v>5643.94</v>
      </c>
      <c r="R96">
        <f t="shared" si="15"/>
        <v>1018.21</v>
      </c>
    </row>
    <row r="97" spans="1:18">
      <c r="A97" t="s">
        <v>233</v>
      </c>
      <c r="B97" t="s">
        <v>234</v>
      </c>
      <c r="C97" t="s">
        <v>26</v>
      </c>
      <c r="D97" t="s">
        <v>13</v>
      </c>
      <c r="E97" t="s">
        <v>37</v>
      </c>
      <c r="F97" t="s">
        <v>22</v>
      </c>
      <c r="G97">
        <v>3</v>
      </c>
      <c r="H97">
        <v>8118.5</v>
      </c>
      <c r="I97">
        <v>1580.14</v>
      </c>
      <c r="J97" t="s">
        <v>23</v>
      </c>
      <c r="K97" t="str">
        <f t="shared" si="8"/>
        <v>West</v>
      </c>
      <c r="L97" t="str">
        <f t="shared" si="9"/>
        <v>Home</v>
      </c>
      <c r="M97" t="str">
        <f t="shared" si="10"/>
        <v>Cookware Set</v>
      </c>
      <c r="N97" t="str">
        <f t="shared" si="11"/>
        <v>OK</v>
      </c>
      <c r="O97" t="str">
        <f t="shared" si="12"/>
        <v>Existing</v>
      </c>
      <c r="P97" t="str">
        <f t="shared" si="13"/>
        <v>Card</v>
      </c>
      <c r="Q97">
        <f t="shared" si="14"/>
        <v>8118.5</v>
      </c>
      <c r="R97">
        <f t="shared" si="15"/>
        <v>1580.14</v>
      </c>
    </row>
    <row r="98" spans="1:18">
      <c r="A98" t="s">
        <v>241</v>
      </c>
      <c r="B98" t="s">
        <v>192</v>
      </c>
      <c r="C98" t="s">
        <v>26</v>
      </c>
      <c r="D98" t="s">
        <v>13</v>
      </c>
      <c r="E98" t="s">
        <v>37</v>
      </c>
      <c r="F98" t="s">
        <v>22</v>
      </c>
      <c r="G98">
        <v>1</v>
      </c>
      <c r="H98">
        <v>2996.99</v>
      </c>
      <c r="I98">
        <v>679.85</v>
      </c>
      <c r="J98" t="s">
        <v>16</v>
      </c>
      <c r="K98" t="str">
        <f t="shared" si="8"/>
        <v>West</v>
      </c>
      <c r="L98" t="str">
        <f t="shared" si="9"/>
        <v>Home</v>
      </c>
      <c r="M98" t="str">
        <f t="shared" si="10"/>
        <v>Cookware Set</v>
      </c>
      <c r="N98" t="str">
        <f t="shared" si="11"/>
        <v>OK</v>
      </c>
      <c r="O98" t="str">
        <f t="shared" si="12"/>
        <v>Existing</v>
      </c>
      <c r="P98" t="str">
        <f t="shared" si="13"/>
        <v>Net Banking</v>
      </c>
      <c r="Q98">
        <f t="shared" si="14"/>
        <v>2996.99</v>
      </c>
      <c r="R98">
        <f t="shared" si="15"/>
        <v>679.85</v>
      </c>
    </row>
    <row r="99" spans="1:18">
      <c r="A99" t="s">
        <v>251</v>
      </c>
      <c r="B99" t="s">
        <v>252</v>
      </c>
      <c r="C99" t="s">
        <v>26</v>
      </c>
      <c r="D99" t="s">
        <v>13</v>
      </c>
      <c r="E99" t="s">
        <v>37</v>
      </c>
      <c r="F99" t="s">
        <v>22</v>
      </c>
      <c r="G99">
        <v>3</v>
      </c>
      <c r="H99">
        <v>7573.6</v>
      </c>
      <c r="I99">
        <v>1752.71</v>
      </c>
      <c r="J99" t="s">
        <v>23</v>
      </c>
      <c r="K99" t="str">
        <f t="shared" si="8"/>
        <v>West</v>
      </c>
      <c r="L99" t="str">
        <f t="shared" si="9"/>
        <v>Home</v>
      </c>
      <c r="M99" t="str">
        <f t="shared" si="10"/>
        <v>Cookware Set</v>
      </c>
      <c r="N99" t="str">
        <f t="shared" si="11"/>
        <v>OK</v>
      </c>
      <c r="O99" t="str">
        <f t="shared" si="12"/>
        <v>Existing</v>
      </c>
      <c r="P99" t="str">
        <f t="shared" si="13"/>
        <v>Card</v>
      </c>
      <c r="Q99">
        <f t="shared" si="14"/>
        <v>7573.6</v>
      </c>
      <c r="R99">
        <f t="shared" si="15"/>
        <v>1752.71</v>
      </c>
    </row>
    <row r="100" spans="1:18">
      <c r="A100" t="s">
        <v>266</v>
      </c>
      <c r="B100" t="s">
        <v>212</v>
      </c>
      <c r="C100" t="s">
        <v>26</v>
      </c>
      <c r="D100" t="s">
        <v>13</v>
      </c>
      <c r="E100" t="s">
        <v>37</v>
      </c>
      <c r="F100" t="s">
        <v>15</v>
      </c>
      <c r="G100">
        <v>1</v>
      </c>
      <c r="H100">
        <v>2598.2800000000002</v>
      </c>
      <c r="I100">
        <v>677.25</v>
      </c>
      <c r="J100" t="s">
        <v>34</v>
      </c>
      <c r="K100" t="str">
        <f t="shared" si="8"/>
        <v>West</v>
      </c>
      <c r="L100" t="str">
        <f t="shared" si="9"/>
        <v>Home</v>
      </c>
      <c r="M100" t="str">
        <f t="shared" si="10"/>
        <v>Cookware Set</v>
      </c>
      <c r="N100" t="str">
        <f t="shared" si="11"/>
        <v>OK</v>
      </c>
      <c r="O100" t="str">
        <f t="shared" si="12"/>
        <v>New</v>
      </c>
      <c r="P100" t="str">
        <f t="shared" si="13"/>
        <v>Upi</v>
      </c>
      <c r="Q100">
        <f t="shared" si="14"/>
        <v>2598.2800000000002</v>
      </c>
      <c r="R100">
        <f t="shared" si="15"/>
        <v>677.25</v>
      </c>
    </row>
    <row r="101" spans="1:18">
      <c r="A101" t="s">
        <v>374</v>
      </c>
      <c r="B101" t="s">
        <v>375</v>
      </c>
      <c r="C101" t="s">
        <v>26</v>
      </c>
      <c r="D101" t="s">
        <v>13</v>
      </c>
      <c r="E101" t="s">
        <v>37</v>
      </c>
      <c r="F101" t="s">
        <v>15</v>
      </c>
      <c r="G101">
        <v>3</v>
      </c>
      <c r="H101">
        <v>9112.84</v>
      </c>
      <c r="I101">
        <v>974.52</v>
      </c>
      <c r="J101" t="s">
        <v>16</v>
      </c>
      <c r="K101" t="str">
        <f t="shared" si="8"/>
        <v>West</v>
      </c>
      <c r="L101" t="str">
        <f t="shared" si="9"/>
        <v>Home</v>
      </c>
      <c r="M101" t="str">
        <f t="shared" si="10"/>
        <v>Cookware Set</v>
      </c>
      <c r="N101" t="str">
        <f t="shared" si="11"/>
        <v>OK</v>
      </c>
      <c r="O101" t="str">
        <f t="shared" si="12"/>
        <v>New</v>
      </c>
      <c r="P101" t="str">
        <f t="shared" si="13"/>
        <v>Net Banking</v>
      </c>
      <c r="Q101">
        <f t="shared" si="14"/>
        <v>9112.84</v>
      </c>
      <c r="R101">
        <f t="shared" si="15"/>
        <v>974.52</v>
      </c>
    </row>
    <row r="102" spans="1:18">
      <c r="A102" t="s">
        <v>404</v>
      </c>
      <c r="B102" t="s">
        <v>98</v>
      </c>
      <c r="C102" t="s">
        <v>26</v>
      </c>
      <c r="D102" t="s">
        <v>13</v>
      </c>
      <c r="E102" t="s">
        <v>37</v>
      </c>
      <c r="F102" t="s">
        <v>22</v>
      </c>
      <c r="G102">
        <v>3</v>
      </c>
      <c r="H102">
        <v>8321.9500000000007</v>
      </c>
      <c r="I102">
        <v>1397.26</v>
      </c>
      <c r="J102" t="s">
        <v>16</v>
      </c>
      <c r="K102" t="str">
        <f t="shared" si="8"/>
        <v>West</v>
      </c>
      <c r="L102" t="str">
        <f t="shared" si="9"/>
        <v>Home</v>
      </c>
      <c r="M102" t="str">
        <f t="shared" si="10"/>
        <v>Cookware Set</v>
      </c>
      <c r="N102" t="str">
        <f t="shared" si="11"/>
        <v>OK</v>
      </c>
      <c r="O102" t="str">
        <f t="shared" si="12"/>
        <v>Existing</v>
      </c>
      <c r="P102" t="str">
        <f t="shared" si="13"/>
        <v>Net Banking</v>
      </c>
      <c r="Q102">
        <f t="shared" si="14"/>
        <v>8321.9500000000007</v>
      </c>
      <c r="R102">
        <f t="shared" si="15"/>
        <v>1397.26</v>
      </c>
    </row>
    <row r="103" spans="1:18">
      <c r="A103" t="s">
        <v>536</v>
      </c>
      <c r="B103" t="s">
        <v>537</v>
      </c>
      <c r="C103" t="s">
        <v>26</v>
      </c>
      <c r="D103" t="s">
        <v>13</v>
      </c>
      <c r="E103" t="s">
        <v>37</v>
      </c>
      <c r="F103" t="s">
        <v>15</v>
      </c>
      <c r="G103">
        <v>5</v>
      </c>
      <c r="H103">
        <v>13722.25</v>
      </c>
      <c r="I103">
        <v>1404.89</v>
      </c>
      <c r="J103" t="s">
        <v>29</v>
      </c>
      <c r="K103" t="str">
        <f t="shared" si="8"/>
        <v>West</v>
      </c>
      <c r="L103" t="str">
        <f t="shared" si="9"/>
        <v>Home</v>
      </c>
      <c r="M103" t="str">
        <f t="shared" si="10"/>
        <v>Cookware Set</v>
      </c>
      <c r="N103" t="str">
        <f t="shared" si="11"/>
        <v>OK</v>
      </c>
      <c r="O103" t="str">
        <f t="shared" si="12"/>
        <v>New</v>
      </c>
      <c r="P103" t="str">
        <f t="shared" si="13"/>
        <v>Cash</v>
      </c>
      <c r="Q103">
        <f t="shared" si="14"/>
        <v>13722.25</v>
      </c>
      <c r="R103">
        <f t="shared" si="15"/>
        <v>1404.89</v>
      </c>
    </row>
    <row r="104" spans="1:18">
      <c r="A104" t="s">
        <v>370</v>
      </c>
      <c r="B104" t="s">
        <v>371</v>
      </c>
      <c r="C104" t="s">
        <v>32</v>
      </c>
      <c r="D104" t="s">
        <v>13</v>
      </c>
      <c r="E104" t="s">
        <v>44</v>
      </c>
      <c r="F104" t="s">
        <v>22</v>
      </c>
      <c r="G104">
        <v>3</v>
      </c>
      <c r="H104">
        <v>2622.77</v>
      </c>
      <c r="I104">
        <v>527.45000000000005</v>
      </c>
      <c r="J104" t="s">
        <v>34</v>
      </c>
      <c r="K104" t="str">
        <f t="shared" si="8"/>
        <v>East</v>
      </c>
      <c r="L104" t="str">
        <f t="shared" si="9"/>
        <v>Home</v>
      </c>
      <c r="M104" t="str">
        <f t="shared" si="10"/>
        <v>Desk Lamp</v>
      </c>
      <c r="N104" t="str">
        <f t="shared" si="11"/>
        <v>OK</v>
      </c>
      <c r="O104" t="str">
        <f t="shared" si="12"/>
        <v>Existing</v>
      </c>
      <c r="P104" t="str">
        <f t="shared" si="13"/>
        <v>Upi</v>
      </c>
      <c r="Q104">
        <f t="shared" si="14"/>
        <v>2622.77</v>
      </c>
      <c r="R104">
        <f t="shared" si="15"/>
        <v>527.45000000000005</v>
      </c>
    </row>
    <row r="105" spans="1:18">
      <c r="A105" t="s">
        <v>376</v>
      </c>
      <c r="B105" t="s">
        <v>377</v>
      </c>
      <c r="C105" t="s">
        <v>32</v>
      </c>
      <c r="D105" t="s">
        <v>13</v>
      </c>
      <c r="E105" t="s">
        <v>44</v>
      </c>
      <c r="F105" t="s">
        <v>22</v>
      </c>
      <c r="G105">
        <v>5</v>
      </c>
      <c r="H105">
        <v>4314.3900000000003</v>
      </c>
      <c r="I105">
        <v>-185.8</v>
      </c>
      <c r="J105" t="s">
        <v>16</v>
      </c>
      <c r="K105" t="str">
        <f t="shared" si="8"/>
        <v>East</v>
      </c>
      <c r="L105" t="str">
        <f t="shared" si="9"/>
        <v>Home</v>
      </c>
      <c r="M105" t="str">
        <f t="shared" si="10"/>
        <v>Desk Lamp</v>
      </c>
      <c r="N105" t="str">
        <f t="shared" si="11"/>
        <v>OK</v>
      </c>
      <c r="O105" t="str">
        <f t="shared" si="12"/>
        <v>Existing</v>
      </c>
      <c r="P105" t="str">
        <f t="shared" si="13"/>
        <v>Net Banking</v>
      </c>
      <c r="Q105">
        <f t="shared" si="14"/>
        <v>4314.3900000000003</v>
      </c>
      <c r="R105">
        <f t="shared" si="15"/>
        <v>-185.8</v>
      </c>
    </row>
    <row r="106" spans="1:18">
      <c r="A106" t="s">
        <v>386</v>
      </c>
      <c r="B106" t="s">
        <v>387</v>
      </c>
      <c r="C106" t="s">
        <v>32</v>
      </c>
      <c r="D106" t="s">
        <v>13</v>
      </c>
      <c r="E106" t="s">
        <v>44</v>
      </c>
      <c r="F106" t="s">
        <v>22</v>
      </c>
      <c r="G106">
        <v>4</v>
      </c>
      <c r="H106">
        <v>3612.78</v>
      </c>
      <c r="I106">
        <v>899.13</v>
      </c>
      <c r="J106" t="s">
        <v>16</v>
      </c>
      <c r="K106" t="str">
        <f t="shared" si="8"/>
        <v>East</v>
      </c>
      <c r="L106" t="str">
        <f t="shared" si="9"/>
        <v>Home</v>
      </c>
      <c r="M106" t="str">
        <f t="shared" si="10"/>
        <v>Desk Lamp</v>
      </c>
      <c r="N106" t="str">
        <f t="shared" si="11"/>
        <v>OK</v>
      </c>
      <c r="O106" t="str">
        <f t="shared" si="12"/>
        <v>Existing</v>
      </c>
      <c r="P106" t="str">
        <f t="shared" si="13"/>
        <v>Net Banking</v>
      </c>
      <c r="Q106">
        <f t="shared" si="14"/>
        <v>3612.78</v>
      </c>
      <c r="R106">
        <f t="shared" si="15"/>
        <v>899.13</v>
      </c>
    </row>
    <row r="107" spans="1:18">
      <c r="A107" t="s">
        <v>203</v>
      </c>
      <c r="B107" t="s">
        <v>204</v>
      </c>
      <c r="C107" t="s">
        <v>12</v>
      </c>
      <c r="D107" t="s">
        <v>13</v>
      </c>
      <c r="E107" t="s">
        <v>44</v>
      </c>
      <c r="F107" t="s">
        <v>15</v>
      </c>
      <c r="G107">
        <v>3</v>
      </c>
      <c r="H107">
        <v>2786.63</v>
      </c>
      <c r="I107">
        <v>-65.37</v>
      </c>
      <c r="J107" t="s">
        <v>34</v>
      </c>
      <c r="K107" t="str">
        <f t="shared" si="8"/>
        <v>North</v>
      </c>
      <c r="L107" t="str">
        <f t="shared" si="9"/>
        <v>Home</v>
      </c>
      <c r="M107" t="str">
        <f t="shared" si="10"/>
        <v>Desk Lamp</v>
      </c>
      <c r="N107" t="str">
        <f t="shared" si="11"/>
        <v>OK</v>
      </c>
      <c r="O107" t="str">
        <f t="shared" si="12"/>
        <v>New</v>
      </c>
      <c r="P107" t="str">
        <f t="shared" si="13"/>
        <v>Upi</v>
      </c>
      <c r="Q107">
        <f t="shared" si="14"/>
        <v>2786.63</v>
      </c>
      <c r="R107">
        <f t="shared" si="15"/>
        <v>-65.37</v>
      </c>
    </row>
    <row r="108" spans="1:18">
      <c r="A108" t="s">
        <v>209</v>
      </c>
      <c r="B108" t="s">
        <v>210</v>
      </c>
      <c r="C108" t="s">
        <v>12</v>
      </c>
      <c r="D108" t="s">
        <v>13</v>
      </c>
      <c r="E108" t="s">
        <v>44</v>
      </c>
      <c r="F108" t="s">
        <v>15</v>
      </c>
      <c r="G108">
        <v>2</v>
      </c>
      <c r="H108">
        <v>1947.03</v>
      </c>
      <c r="I108">
        <v>423.65</v>
      </c>
      <c r="J108" t="s">
        <v>29</v>
      </c>
      <c r="K108" t="str">
        <f t="shared" si="8"/>
        <v>North</v>
      </c>
      <c r="L108" t="str">
        <f t="shared" si="9"/>
        <v>Home</v>
      </c>
      <c r="M108" t="str">
        <f t="shared" si="10"/>
        <v>Desk Lamp</v>
      </c>
      <c r="N108" t="str">
        <f t="shared" si="11"/>
        <v>OK</v>
      </c>
      <c r="O108" t="str">
        <f t="shared" si="12"/>
        <v>New</v>
      </c>
      <c r="P108" t="str">
        <f t="shared" si="13"/>
        <v>Cash</v>
      </c>
      <c r="Q108">
        <f t="shared" si="14"/>
        <v>1947.03</v>
      </c>
      <c r="R108">
        <f t="shared" si="15"/>
        <v>423.65</v>
      </c>
    </row>
    <row r="109" spans="1:18">
      <c r="A109" t="s">
        <v>235</v>
      </c>
      <c r="B109" t="s">
        <v>116</v>
      </c>
      <c r="C109" t="s">
        <v>12</v>
      </c>
      <c r="D109" t="s">
        <v>13</v>
      </c>
      <c r="E109" t="s">
        <v>44</v>
      </c>
      <c r="F109" t="s">
        <v>22</v>
      </c>
      <c r="G109">
        <v>5</v>
      </c>
      <c r="H109">
        <v>4394.67</v>
      </c>
      <c r="I109">
        <v>1002.71</v>
      </c>
      <c r="J109" t="s">
        <v>16</v>
      </c>
      <c r="K109" t="str">
        <f t="shared" si="8"/>
        <v>North</v>
      </c>
      <c r="L109" t="str">
        <f t="shared" si="9"/>
        <v>Home</v>
      </c>
      <c r="M109" t="str">
        <f t="shared" si="10"/>
        <v>Desk Lamp</v>
      </c>
      <c r="N109" t="str">
        <f t="shared" si="11"/>
        <v>OK</v>
      </c>
      <c r="O109" t="str">
        <f t="shared" si="12"/>
        <v>Existing</v>
      </c>
      <c r="P109" t="str">
        <f t="shared" si="13"/>
        <v>Net Banking</v>
      </c>
      <c r="Q109">
        <f t="shared" si="14"/>
        <v>4394.67</v>
      </c>
      <c r="R109">
        <f t="shared" si="15"/>
        <v>1002.71</v>
      </c>
    </row>
    <row r="110" spans="1:18">
      <c r="A110" t="s">
        <v>366</v>
      </c>
      <c r="B110" t="s">
        <v>367</v>
      </c>
      <c r="C110" t="s">
        <v>12</v>
      </c>
      <c r="D110" t="s">
        <v>13</v>
      </c>
      <c r="E110" t="s">
        <v>44</v>
      </c>
      <c r="F110" t="s">
        <v>22</v>
      </c>
      <c r="G110">
        <v>2</v>
      </c>
      <c r="H110">
        <v>1642.72</v>
      </c>
      <c r="I110">
        <v>327.61</v>
      </c>
      <c r="J110" t="s">
        <v>23</v>
      </c>
      <c r="K110" t="str">
        <f t="shared" si="8"/>
        <v>North</v>
      </c>
      <c r="L110" t="str">
        <f t="shared" si="9"/>
        <v>Home</v>
      </c>
      <c r="M110" t="str">
        <f t="shared" si="10"/>
        <v>Desk Lamp</v>
      </c>
      <c r="N110" t="str">
        <f t="shared" si="11"/>
        <v>OK</v>
      </c>
      <c r="O110" t="str">
        <f t="shared" si="12"/>
        <v>Existing</v>
      </c>
      <c r="P110" t="str">
        <f t="shared" si="13"/>
        <v>Card</v>
      </c>
      <c r="Q110">
        <f t="shared" si="14"/>
        <v>1642.72</v>
      </c>
      <c r="R110">
        <f t="shared" si="15"/>
        <v>327.61</v>
      </c>
    </row>
    <row r="111" spans="1:18">
      <c r="A111" t="s">
        <v>427</v>
      </c>
      <c r="B111" t="s">
        <v>85</v>
      </c>
      <c r="C111" t="s">
        <v>12</v>
      </c>
      <c r="D111" t="s">
        <v>13</v>
      </c>
      <c r="E111" t="s">
        <v>44</v>
      </c>
      <c r="F111" t="s">
        <v>22</v>
      </c>
      <c r="G111">
        <v>1</v>
      </c>
      <c r="H111">
        <v>913.06</v>
      </c>
      <c r="I111">
        <v>157.22</v>
      </c>
      <c r="J111" t="s">
        <v>29</v>
      </c>
      <c r="K111" t="str">
        <f t="shared" si="8"/>
        <v>North</v>
      </c>
      <c r="L111" t="str">
        <f t="shared" si="9"/>
        <v>Home</v>
      </c>
      <c r="M111" t="str">
        <f t="shared" si="10"/>
        <v>Desk Lamp</v>
      </c>
      <c r="N111" t="str">
        <f t="shared" si="11"/>
        <v>OK</v>
      </c>
      <c r="O111" t="str">
        <f t="shared" si="12"/>
        <v>Existing</v>
      </c>
      <c r="P111" t="str">
        <f t="shared" si="13"/>
        <v>Cash</v>
      </c>
      <c r="Q111">
        <f t="shared" si="14"/>
        <v>913.06</v>
      </c>
      <c r="R111">
        <f t="shared" si="15"/>
        <v>157.22</v>
      </c>
    </row>
    <row r="112" spans="1:18">
      <c r="A112" t="s">
        <v>42</v>
      </c>
      <c r="B112" t="s">
        <v>43</v>
      </c>
      <c r="C112" t="s">
        <v>19</v>
      </c>
      <c r="D112" t="s">
        <v>13</v>
      </c>
      <c r="E112" t="s">
        <v>44</v>
      </c>
      <c r="F112" t="s">
        <v>22</v>
      </c>
      <c r="G112">
        <v>2</v>
      </c>
      <c r="H112">
        <v>1786.41</v>
      </c>
      <c r="I112">
        <v>30.69</v>
      </c>
      <c r="J112" t="s">
        <v>34</v>
      </c>
      <c r="K112" t="str">
        <f t="shared" si="8"/>
        <v>South</v>
      </c>
      <c r="L112" t="str">
        <f t="shared" si="9"/>
        <v>Home</v>
      </c>
      <c r="M112" t="str">
        <f t="shared" si="10"/>
        <v>Desk Lamp</v>
      </c>
      <c r="N112" t="str">
        <f t="shared" si="11"/>
        <v>OK</v>
      </c>
      <c r="O112" t="str">
        <f t="shared" si="12"/>
        <v>Existing</v>
      </c>
      <c r="P112" t="str">
        <f t="shared" si="13"/>
        <v>Upi</v>
      </c>
      <c r="Q112">
        <f t="shared" si="14"/>
        <v>1786.41</v>
      </c>
      <c r="R112">
        <f t="shared" si="15"/>
        <v>30.69</v>
      </c>
    </row>
    <row r="113" spans="1:18">
      <c r="A113" t="s">
        <v>109</v>
      </c>
      <c r="B113" t="s">
        <v>110</v>
      </c>
      <c r="C113" t="s">
        <v>19</v>
      </c>
      <c r="D113" t="s">
        <v>13</v>
      </c>
      <c r="E113" t="s">
        <v>44</v>
      </c>
      <c r="F113" t="s">
        <v>22</v>
      </c>
      <c r="G113">
        <v>5</v>
      </c>
      <c r="H113">
        <v>4082.43</v>
      </c>
      <c r="I113">
        <v>216.03</v>
      </c>
      <c r="J113" t="s">
        <v>23</v>
      </c>
      <c r="K113" t="str">
        <f t="shared" si="8"/>
        <v>South</v>
      </c>
      <c r="L113" t="str">
        <f t="shared" si="9"/>
        <v>Home</v>
      </c>
      <c r="M113" t="str">
        <f t="shared" si="10"/>
        <v>Desk Lamp</v>
      </c>
      <c r="N113" t="str">
        <f t="shared" si="11"/>
        <v>OK</v>
      </c>
      <c r="O113" t="str">
        <f t="shared" si="12"/>
        <v>Existing</v>
      </c>
      <c r="P113" t="str">
        <f t="shared" si="13"/>
        <v>Card</v>
      </c>
      <c r="Q113">
        <f t="shared" si="14"/>
        <v>4082.43</v>
      </c>
      <c r="R113">
        <f t="shared" si="15"/>
        <v>216.03</v>
      </c>
    </row>
    <row r="114" spans="1:18">
      <c r="A114" t="s">
        <v>188</v>
      </c>
      <c r="B114" t="s">
        <v>184</v>
      </c>
      <c r="C114" t="s">
        <v>19</v>
      </c>
      <c r="D114" t="s">
        <v>13</v>
      </c>
      <c r="E114" t="s">
        <v>44</v>
      </c>
      <c r="F114" t="s">
        <v>15</v>
      </c>
      <c r="G114">
        <v>3</v>
      </c>
      <c r="H114">
        <v>2494.56</v>
      </c>
      <c r="I114">
        <v>281.66000000000003</v>
      </c>
      <c r="J114" t="s">
        <v>23</v>
      </c>
      <c r="K114" t="str">
        <f t="shared" si="8"/>
        <v>South</v>
      </c>
      <c r="L114" t="str">
        <f t="shared" si="9"/>
        <v>Home</v>
      </c>
      <c r="M114" t="str">
        <f t="shared" si="10"/>
        <v>Desk Lamp</v>
      </c>
      <c r="N114" t="str">
        <f t="shared" si="11"/>
        <v>OK</v>
      </c>
      <c r="O114" t="str">
        <f t="shared" si="12"/>
        <v>New</v>
      </c>
      <c r="P114" t="str">
        <f t="shared" si="13"/>
        <v>Card</v>
      </c>
      <c r="Q114">
        <f t="shared" si="14"/>
        <v>2494.56</v>
      </c>
      <c r="R114">
        <f t="shared" si="15"/>
        <v>281.66000000000003</v>
      </c>
    </row>
    <row r="115" spans="1:18">
      <c r="A115" t="s">
        <v>207</v>
      </c>
      <c r="B115" t="s">
        <v>208</v>
      </c>
      <c r="C115" t="s">
        <v>19</v>
      </c>
      <c r="D115" t="s">
        <v>13</v>
      </c>
      <c r="E115" t="s">
        <v>44</v>
      </c>
      <c r="F115" t="s">
        <v>22</v>
      </c>
      <c r="G115">
        <v>3</v>
      </c>
      <c r="H115">
        <v>2855.43</v>
      </c>
      <c r="I115">
        <v>414.1</v>
      </c>
      <c r="J115" t="s">
        <v>34</v>
      </c>
      <c r="K115" t="str">
        <f t="shared" si="8"/>
        <v>South</v>
      </c>
      <c r="L115" t="str">
        <f t="shared" si="9"/>
        <v>Home</v>
      </c>
      <c r="M115" t="str">
        <f t="shared" si="10"/>
        <v>Desk Lamp</v>
      </c>
      <c r="N115" t="str">
        <f t="shared" si="11"/>
        <v>OK</v>
      </c>
      <c r="O115" t="str">
        <f t="shared" si="12"/>
        <v>Existing</v>
      </c>
      <c r="P115" t="str">
        <f t="shared" si="13"/>
        <v>Upi</v>
      </c>
      <c r="Q115">
        <f t="shared" si="14"/>
        <v>2855.43</v>
      </c>
      <c r="R115">
        <f t="shared" si="15"/>
        <v>414.1</v>
      </c>
    </row>
    <row r="116" spans="1:18">
      <c r="A116" t="s">
        <v>384</v>
      </c>
      <c r="B116" t="s">
        <v>385</v>
      </c>
      <c r="C116" t="s">
        <v>19</v>
      </c>
      <c r="D116" t="s">
        <v>13</v>
      </c>
      <c r="E116" t="s">
        <v>44</v>
      </c>
      <c r="F116" t="s">
        <v>15</v>
      </c>
      <c r="G116">
        <v>5</v>
      </c>
      <c r="H116">
        <v>4380.25</v>
      </c>
      <c r="I116">
        <v>145.33000000000001</v>
      </c>
      <c r="J116" t="s">
        <v>34</v>
      </c>
      <c r="K116" t="str">
        <f t="shared" si="8"/>
        <v>South</v>
      </c>
      <c r="L116" t="str">
        <f t="shared" si="9"/>
        <v>Home</v>
      </c>
      <c r="M116" t="str">
        <f t="shared" si="10"/>
        <v>Desk Lamp</v>
      </c>
      <c r="N116" t="str">
        <f t="shared" si="11"/>
        <v>OK</v>
      </c>
      <c r="O116" t="str">
        <f t="shared" si="12"/>
        <v>New</v>
      </c>
      <c r="P116" t="str">
        <f t="shared" si="13"/>
        <v>Upi</v>
      </c>
      <c r="Q116">
        <f t="shared" si="14"/>
        <v>4380.25</v>
      </c>
      <c r="R116">
        <f t="shared" si="15"/>
        <v>145.33000000000001</v>
      </c>
    </row>
    <row r="117" spans="1:18">
      <c r="A117" t="s">
        <v>239</v>
      </c>
      <c r="B117" t="s">
        <v>240</v>
      </c>
      <c r="C117" t="s">
        <v>26</v>
      </c>
      <c r="D117" t="s">
        <v>13</v>
      </c>
      <c r="E117" t="s">
        <v>44</v>
      </c>
      <c r="F117" t="s">
        <v>22</v>
      </c>
      <c r="G117">
        <v>4</v>
      </c>
      <c r="H117">
        <v>3867.07</v>
      </c>
      <c r="I117">
        <v>1040.96</v>
      </c>
      <c r="J117" t="s">
        <v>29</v>
      </c>
      <c r="K117" t="str">
        <f t="shared" si="8"/>
        <v>West</v>
      </c>
      <c r="L117" t="str">
        <f t="shared" si="9"/>
        <v>Home</v>
      </c>
      <c r="M117" t="str">
        <f t="shared" si="10"/>
        <v>Desk Lamp</v>
      </c>
      <c r="N117" t="str">
        <f t="shared" si="11"/>
        <v>OK</v>
      </c>
      <c r="O117" t="str">
        <f t="shared" si="12"/>
        <v>Existing</v>
      </c>
      <c r="P117" t="str">
        <f t="shared" si="13"/>
        <v>Cash</v>
      </c>
      <c r="Q117">
        <f t="shared" si="14"/>
        <v>3867.07</v>
      </c>
      <c r="R117">
        <f t="shared" si="15"/>
        <v>1040.96</v>
      </c>
    </row>
    <row r="118" spans="1:18">
      <c r="A118" t="s">
        <v>330</v>
      </c>
      <c r="B118" t="s">
        <v>331</v>
      </c>
      <c r="C118" t="s">
        <v>26</v>
      </c>
      <c r="D118" t="s">
        <v>13</v>
      </c>
      <c r="E118" t="s">
        <v>44</v>
      </c>
      <c r="F118" t="s">
        <v>15</v>
      </c>
      <c r="G118">
        <v>3</v>
      </c>
      <c r="H118">
        <v>2597.5300000000002</v>
      </c>
      <c r="I118">
        <v>405.68</v>
      </c>
      <c r="J118" t="s">
        <v>34</v>
      </c>
      <c r="K118" t="str">
        <f t="shared" si="8"/>
        <v>West</v>
      </c>
      <c r="L118" t="str">
        <f t="shared" si="9"/>
        <v>Home</v>
      </c>
      <c r="M118" t="str">
        <f t="shared" si="10"/>
        <v>Desk Lamp</v>
      </c>
      <c r="N118" t="str">
        <f t="shared" si="11"/>
        <v>OK</v>
      </c>
      <c r="O118" t="str">
        <f t="shared" si="12"/>
        <v>New</v>
      </c>
      <c r="P118" t="str">
        <f t="shared" si="13"/>
        <v>Upi</v>
      </c>
      <c r="Q118">
        <f t="shared" si="14"/>
        <v>2597.5300000000002</v>
      </c>
      <c r="R118">
        <f t="shared" si="15"/>
        <v>405.68</v>
      </c>
    </row>
    <row r="119" spans="1:18">
      <c r="A119" t="s">
        <v>430</v>
      </c>
      <c r="B119" t="s">
        <v>431</v>
      </c>
      <c r="C119" t="s">
        <v>26</v>
      </c>
      <c r="D119" t="s">
        <v>13</v>
      </c>
      <c r="E119" t="s">
        <v>44</v>
      </c>
      <c r="F119" t="s">
        <v>22</v>
      </c>
      <c r="G119">
        <v>5</v>
      </c>
      <c r="H119">
        <v>4342.54</v>
      </c>
      <c r="I119">
        <v>687.87</v>
      </c>
      <c r="J119" t="s">
        <v>23</v>
      </c>
      <c r="K119" t="str">
        <f t="shared" si="8"/>
        <v>West</v>
      </c>
      <c r="L119" t="str">
        <f t="shared" si="9"/>
        <v>Home</v>
      </c>
      <c r="M119" t="str">
        <f t="shared" si="10"/>
        <v>Desk Lamp</v>
      </c>
      <c r="N119" t="str">
        <f t="shared" si="11"/>
        <v>OK</v>
      </c>
      <c r="O119" t="str">
        <f t="shared" si="12"/>
        <v>Existing</v>
      </c>
      <c r="P119" t="str">
        <f t="shared" si="13"/>
        <v>Card</v>
      </c>
      <c r="Q119">
        <f t="shared" si="14"/>
        <v>4342.54</v>
      </c>
      <c r="R119">
        <f t="shared" si="15"/>
        <v>687.87</v>
      </c>
    </row>
    <row r="120" spans="1:18">
      <c r="A120" t="s">
        <v>453</v>
      </c>
      <c r="B120" t="s">
        <v>25</v>
      </c>
      <c r="C120" t="s">
        <v>26</v>
      </c>
      <c r="D120" t="s">
        <v>13</v>
      </c>
      <c r="E120" t="s">
        <v>44</v>
      </c>
      <c r="F120" t="s">
        <v>22</v>
      </c>
      <c r="G120">
        <v>1</v>
      </c>
      <c r="H120">
        <v>930.2</v>
      </c>
      <c r="I120">
        <v>81.430000000000007</v>
      </c>
      <c r="J120" t="s">
        <v>34</v>
      </c>
      <c r="K120" t="str">
        <f t="shared" si="8"/>
        <v>West</v>
      </c>
      <c r="L120" t="str">
        <f t="shared" si="9"/>
        <v>Home</v>
      </c>
      <c r="M120" t="str">
        <f t="shared" si="10"/>
        <v>Desk Lamp</v>
      </c>
      <c r="N120" t="str">
        <f t="shared" si="11"/>
        <v>OK</v>
      </c>
      <c r="O120" t="str">
        <f t="shared" si="12"/>
        <v>Existing</v>
      </c>
      <c r="P120" t="str">
        <f t="shared" si="13"/>
        <v>Upi</v>
      </c>
      <c r="Q120">
        <f t="shared" si="14"/>
        <v>930.2</v>
      </c>
      <c r="R120">
        <f t="shared" si="15"/>
        <v>81.430000000000007</v>
      </c>
    </row>
    <row r="121" spans="1:18">
      <c r="A121" t="s">
        <v>534</v>
      </c>
      <c r="B121" t="s">
        <v>462</v>
      </c>
      <c r="C121" t="s">
        <v>26</v>
      </c>
      <c r="D121" t="s">
        <v>13</v>
      </c>
      <c r="E121" t="s">
        <v>44</v>
      </c>
      <c r="F121" t="s">
        <v>22</v>
      </c>
      <c r="G121">
        <v>4</v>
      </c>
      <c r="H121">
        <v>3814.33</v>
      </c>
      <c r="I121">
        <v>836.34</v>
      </c>
      <c r="J121" t="s">
        <v>23</v>
      </c>
      <c r="K121" t="str">
        <f t="shared" si="8"/>
        <v>West</v>
      </c>
      <c r="L121" t="str">
        <f t="shared" si="9"/>
        <v>Home</v>
      </c>
      <c r="M121" t="str">
        <f t="shared" si="10"/>
        <v>Desk Lamp</v>
      </c>
      <c r="N121" t="str">
        <f t="shared" si="11"/>
        <v>OK</v>
      </c>
      <c r="O121" t="str">
        <f t="shared" si="12"/>
        <v>Existing</v>
      </c>
      <c r="P121" t="str">
        <f t="shared" si="13"/>
        <v>Card</v>
      </c>
      <c r="Q121">
        <f t="shared" si="14"/>
        <v>3814.33</v>
      </c>
      <c r="R121">
        <f t="shared" si="15"/>
        <v>836.34</v>
      </c>
    </row>
    <row r="122" spans="1:18">
      <c r="A122" t="s">
        <v>177</v>
      </c>
      <c r="B122" t="s">
        <v>178</v>
      </c>
      <c r="C122" t="s">
        <v>32</v>
      </c>
      <c r="D122" t="s">
        <v>27</v>
      </c>
      <c r="E122" t="s">
        <v>28</v>
      </c>
      <c r="F122" t="s">
        <v>22</v>
      </c>
      <c r="G122">
        <v>3</v>
      </c>
      <c r="H122">
        <v>5497.43</v>
      </c>
      <c r="I122">
        <v>46.06</v>
      </c>
      <c r="J122" t="s">
        <v>23</v>
      </c>
      <c r="K122" t="str">
        <f t="shared" si="8"/>
        <v>East</v>
      </c>
      <c r="L122" t="str">
        <f t="shared" si="9"/>
        <v>Clothing</v>
      </c>
      <c r="M122" t="str">
        <f t="shared" si="10"/>
        <v>Dress</v>
      </c>
      <c r="N122" t="str">
        <f t="shared" si="11"/>
        <v>OK</v>
      </c>
      <c r="O122" t="str">
        <f t="shared" si="12"/>
        <v>Existing</v>
      </c>
      <c r="P122" t="str">
        <f t="shared" si="13"/>
        <v>Card</v>
      </c>
      <c r="Q122">
        <f t="shared" si="14"/>
        <v>5497.43</v>
      </c>
      <c r="R122">
        <f t="shared" si="15"/>
        <v>46.06</v>
      </c>
    </row>
    <row r="123" spans="1:18">
      <c r="A123" t="s">
        <v>179</v>
      </c>
      <c r="B123" t="s">
        <v>180</v>
      </c>
      <c r="C123" t="s">
        <v>32</v>
      </c>
      <c r="D123" t="s">
        <v>27</v>
      </c>
      <c r="E123" t="s">
        <v>28</v>
      </c>
      <c r="F123" t="s">
        <v>15</v>
      </c>
      <c r="G123">
        <v>5</v>
      </c>
      <c r="H123">
        <v>9819.56</v>
      </c>
      <c r="I123">
        <v>403.61</v>
      </c>
      <c r="J123" t="s">
        <v>16</v>
      </c>
      <c r="K123" t="str">
        <f t="shared" si="8"/>
        <v>East</v>
      </c>
      <c r="L123" t="str">
        <f t="shared" si="9"/>
        <v>Clothing</v>
      </c>
      <c r="M123" t="str">
        <f t="shared" si="10"/>
        <v>Dress</v>
      </c>
      <c r="N123" t="str">
        <f t="shared" si="11"/>
        <v>OK</v>
      </c>
      <c r="O123" t="str">
        <f t="shared" si="12"/>
        <v>New</v>
      </c>
      <c r="P123" t="str">
        <f t="shared" si="13"/>
        <v>Net Banking</v>
      </c>
      <c r="Q123">
        <f t="shared" si="14"/>
        <v>9819.56</v>
      </c>
      <c r="R123">
        <f t="shared" si="15"/>
        <v>403.61</v>
      </c>
    </row>
    <row r="124" spans="1:18">
      <c r="A124" t="s">
        <v>187</v>
      </c>
      <c r="B124" t="s">
        <v>186</v>
      </c>
      <c r="C124" t="s">
        <v>32</v>
      </c>
      <c r="D124" t="s">
        <v>27</v>
      </c>
      <c r="E124" t="s">
        <v>28</v>
      </c>
      <c r="F124" t="s">
        <v>15</v>
      </c>
      <c r="G124">
        <v>3</v>
      </c>
      <c r="H124">
        <v>5531.06</v>
      </c>
      <c r="I124">
        <v>461</v>
      </c>
      <c r="J124" t="s">
        <v>34</v>
      </c>
      <c r="K124" t="str">
        <f t="shared" si="8"/>
        <v>East</v>
      </c>
      <c r="L124" t="str">
        <f t="shared" si="9"/>
        <v>Clothing</v>
      </c>
      <c r="M124" t="str">
        <f t="shared" si="10"/>
        <v>Dress</v>
      </c>
      <c r="N124" t="str">
        <f t="shared" si="11"/>
        <v>OK</v>
      </c>
      <c r="O124" t="str">
        <f t="shared" si="12"/>
        <v>New</v>
      </c>
      <c r="P124" t="str">
        <f t="shared" si="13"/>
        <v>Upi</v>
      </c>
      <c r="Q124">
        <f t="shared" si="14"/>
        <v>5531.06</v>
      </c>
      <c r="R124">
        <f t="shared" si="15"/>
        <v>461</v>
      </c>
    </row>
    <row r="125" spans="1:18">
      <c r="A125" t="s">
        <v>406</v>
      </c>
      <c r="B125" t="s">
        <v>142</v>
      </c>
      <c r="C125" t="s">
        <v>32</v>
      </c>
      <c r="D125" t="s">
        <v>27</v>
      </c>
      <c r="E125" t="s">
        <v>28</v>
      </c>
      <c r="F125" t="s">
        <v>22</v>
      </c>
      <c r="G125">
        <v>5</v>
      </c>
      <c r="H125">
        <v>8751.75</v>
      </c>
      <c r="I125">
        <v>61.49</v>
      </c>
      <c r="J125" t="s">
        <v>23</v>
      </c>
      <c r="K125" t="str">
        <f t="shared" si="8"/>
        <v>East</v>
      </c>
      <c r="L125" t="str">
        <f t="shared" si="9"/>
        <v>Clothing</v>
      </c>
      <c r="M125" t="str">
        <f t="shared" si="10"/>
        <v>Dress</v>
      </c>
      <c r="N125" t="str">
        <f t="shared" si="11"/>
        <v>OK</v>
      </c>
      <c r="O125" t="str">
        <f t="shared" si="12"/>
        <v>Existing</v>
      </c>
      <c r="P125" t="str">
        <f t="shared" si="13"/>
        <v>Card</v>
      </c>
      <c r="Q125">
        <f t="shared" si="14"/>
        <v>8751.75</v>
      </c>
      <c r="R125">
        <f t="shared" si="15"/>
        <v>61.49</v>
      </c>
    </row>
    <row r="126" spans="1:18">
      <c r="A126" t="s">
        <v>432</v>
      </c>
      <c r="B126" t="s">
        <v>433</v>
      </c>
      <c r="C126" t="s">
        <v>32</v>
      </c>
      <c r="D126" t="s">
        <v>27</v>
      </c>
      <c r="E126" t="s">
        <v>28</v>
      </c>
      <c r="F126" t="s">
        <v>22</v>
      </c>
      <c r="G126">
        <v>3</v>
      </c>
      <c r="H126">
        <v>5752.75</v>
      </c>
      <c r="I126">
        <v>939.5</v>
      </c>
      <c r="J126" t="s">
        <v>23</v>
      </c>
      <c r="K126" t="str">
        <f t="shared" si="8"/>
        <v>East</v>
      </c>
      <c r="L126" t="str">
        <f t="shared" si="9"/>
        <v>Clothing</v>
      </c>
      <c r="M126" t="str">
        <f t="shared" si="10"/>
        <v>Dress</v>
      </c>
      <c r="N126" t="str">
        <f t="shared" si="11"/>
        <v>OK</v>
      </c>
      <c r="O126" t="str">
        <f t="shared" si="12"/>
        <v>Existing</v>
      </c>
      <c r="P126" t="str">
        <f t="shared" si="13"/>
        <v>Card</v>
      </c>
      <c r="Q126">
        <f t="shared" si="14"/>
        <v>5752.75</v>
      </c>
      <c r="R126">
        <f t="shared" si="15"/>
        <v>939.5</v>
      </c>
    </row>
    <row r="127" spans="1:18">
      <c r="A127" t="s">
        <v>488</v>
      </c>
      <c r="B127" t="s">
        <v>489</v>
      </c>
      <c r="C127" t="s">
        <v>32</v>
      </c>
      <c r="D127" t="s">
        <v>27</v>
      </c>
      <c r="E127" t="s">
        <v>28</v>
      </c>
      <c r="F127" t="s">
        <v>15</v>
      </c>
      <c r="G127">
        <v>4</v>
      </c>
      <c r="H127">
        <v>7548.33</v>
      </c>
      <c r="I127">
        <v>1577.71</v>
      </c>
      <c r="J127" t="s">
        <v>29</v>
      </c>
      <c r="K127" t="str">
        <f t="shared" si="8"/>
        <v>East</v>
      </c>
      <c r="L127" t="str">
        <f t="shared" si="9"/>
        <v>Clothing</v>
      </c>
      <c r="M127" t="str">
        <f t="shared" si="10"/>
        <v>Dress</v>
      </c>
      <c r="N127" t="str">
        <f t="shared" si="11"/>
        <v>OK</v>
      </c>
      <c r="O127" t="str">
        <f t="shared" si="12"/>
        <v>New</v>
      </c>
      <c r="P127" t="str">
        <f t="shared" si="13"/>
        <v>Cash</v>
      </c>
      <c r="Q127">
        <f t="shared" si="14"/>
        <v>7548.33</v>
      </c>
      <c r="R127">
        <f t="shared" si="15"/>
        <v>1577.71</v>
      </c>
    </row>
    <row r="128" spans="1:18">
      <c r="A128" t="s">
        <v>122</v>
      </c>
      <c r="B128" t="s">
        <v>71</v>
      </c>
      <c r="C128" t="s">
        <v>12</v>
      </c>
      <c r="D128" t="s">
        <v>27</v>
      </c>
      <c r="E128" t="s">
        <v>28</v>
      </c>
      <c r="F128" t="s">
        <v>15</v>
      </c>
      <c r="G128">
        <v>4</v>
      </c>
      <c r="H128">
        <v>7872.87</v>
      </c>
      <c r="I128">
        <v>1761.3</v>
      </c>
      <c r="J128" t="s">
        <v>29</v>
      </c>
      <c r="K128" t="str">
        <f t="shared" si="8"/>
        <v>North</v>
      </c>
      <c r="L128" t="str">
        <f t="shared" si="9"/>
        <v>Clothing</v>
      </c>
      <c r="M128" t="str">
        <f t="shared" si="10"/>
        <v>Dress</v>
      </c>
      <c r="N128" t="str">
        <f t="shared" si="11"/>
        <v>OK</v>
      </c>
      <c r="O128" t="str">
        <f t="shared" si="12"/>
        <v>New</v>
      </c>
      <c r="P128" t="str">
        <f t="shared" si="13"/>
        <v>Cash</v>
      </c>
      <c r="Q128">
        <f t="shared" si="14"/>
        <v>7872.87</v>
      </c>
      <c r="R128">
        <f t="shared" si="15"/>
        <v>1761.3</v>
      </c>
    </row>
    <row r="129" spans="1:18">
      <c r="A129" t="s">
        <v>296</v>
      </c>
      <c r="B129" t="s">
        <v>297</v>
      </c>
      <c r="C129" t="s">
        <v>12</v>
      </c>
      <c r="D129" t="s">
        <v>27</v>
      </c>
      <c r="E129" t="s">
        <v>28</v>
      </c>
      <c r="F129" t="s">
        <v>22</v>
      </c>
      <c r="G129">
        <v>2</v>
      </c>
      <c r="H129">
        <v>4033.49</v>
      </c>
      <c r="I129">
        <v>904.53</v>
      </c>
      <c r="J129" t="s">
        <v>34</v>
      </c>
      <c r="K129" t="str">
        <f t="shared" si="8"/>
        <v>North</v>
      </c>
      <c r="L129" t="str">
        <f t="shared" si="9"/>
        <v>Clothing</v>
      </c>
      <c r="M129" t="str">
        <f t="shared" si="10"/>
        <v>Dress</v>
      </c>
      <c r="N129" t="str">
        <f t="shared" si="11"/>
        <v>OK</v>
      </c>
      <c r="O129" t="str">
        <f t="shared" si="12"/>
        <v>Existing</v>
      </c>
      <c r="P129" t="str">
        <f t="shared" si="13"/>
        <v>Upi</v>
      </c>
      <c r="Q129">
        <f t="shared" si="14"/>
        <v>4033.49</v>
      </c>
      <c r="R129">
        <f t="shared" si="15"/>
        <v>904.53</v>
      </c>
    </row>
    <row r="130" spans="1:18">
      <c r="A130" t="s">
        <v>332</v>
      </c>
      <c r="B130" t="s">
        <v>333</v>
      </c>
      <c r="C130" t="s">
        <v>12</v>
      </c>
      <c r="D130" t="s">
        <v>27</v>
      </c>
      <c r="E130" t="s">
        <v>28</v>
      </c>
      <c r="F130" t="s">
        <v>22</v>
      </c>
      <c r="G130">
        <v>4</v>
      </c>
      <c r="H130">
        <v>7818.11</v>
      </c>
      <c r="I130">
        <v>299.05</v>
      </c>
      <c r="J130" t="s">
        <v>29</v>
      </c>
      <c r="K130" t="str">
        <f t="shared" si="8"/>
        <v>North</v>
      </c>
      <c r="L130" t="str">
        <f t="shared" si="9"/>
        <v>Clothing</v>
      </c>
      <c r="M130" t="str">
        <f t="shared" si="10"/>
        <v>Dress</v>
      </c>
      <c r="N130" t="str">
        <f t="shared" si="11"/>
        <v>OK</v>
      </c>
      <c r="O130" t="str">
        <f t="shared" si="12"/>
        <v>Existing</v>
      </c>
      <c r="P130" t="str">
        <f t="shared" si="13"/>
        <v>Cash</v>
      </c>
      <c r="Q130">
        <f t="shared" si="14"/>
        <v>7818.11</v>
      </c>
      <c r="R130">
        <f t="shared" si="15"/>
        <v>299.05</v>
      </c>
    </row>
    <row r="131" spans="1:18">
      <c r="A131" t="s">
        <v>515</v>
      </c>
      <c r="B131" t="s">
        <v>377</v>
      </c>
      <c r="C131" t="s">
        <v>12</v>
      </c>
      <c r="D131" t="s">
        <v>27</v>
      </c>
      <c r="E131" t="s">
        <v>28</v>
      </c>
      <c r="F131" t="s">
        <v>22</v>
      </c>
      <c r="G131">
        <v>5</v>
      </c>
      <c r="H131">
        <v>10364.23</v>
      </c>
      <c r="I131">
        <v>651.01</v>
      </c>
      <c r="J131" t="s">
        <v>16</v>
      </c>
      <c r="K131" t="str">
        <f t="shared" ref="K131:K194" si="16">PROPER(TRIM(C131))</f>
        <v>North</v>
      </c>
      <c r="L131" t="str">
        <f t="shared" ref="L131:L194" si="17">PROPER(TRIM(D131))</f>
        <v>Clothing</v>
      </c>
      <c r="M131" t="str">
        <f t="shared" ref="M131:M194" si="18">PROPER(TRIM(E131))</f>
        <v>Dress</v>
      </c>
      <c r="N131" t="str">
        <f t="shared" ref="N131:N194" si="19">IF(OR(H131="",I131="",J131="",F131=""),"Review","OK")</f>
        <v>OK</v>
      </c>
      <c r="O131" t="str">
        <f t="shared" ref="O131:O194" si="20">IF(TRIM(F131)="","Review",PROPER(TRIM(F131)))</f>
        <v>Existing</v>
      </c>
      <c r="P131" t="str">
        <f t="shared" ref="P131:P194" si="21">IF(TRIM(J131)="","Review",PROPER(TRIM(J131)))</f>
        <v>Net Banking</v>
      </c>
      <c r="Q131">
        <f t="shared" ref="Q131:Q194" si="22">IF(H131="","",H131)</f>
        <v>10364.23</v>
      </c>
      <c r="R131">
        <f t="shared" ref="R131:R194" si="23">IF(I131="","",I131)</f>
        <v>651.01</v>
      </c>
    </row>
    <row r="132" spans="1:18">
      <c r="A132" t="s">
        <v>523</v>
      </c>
      <c r="B132" t="s">
        <v>373</v>
      </c>
      <c r="C132" t="s">
        <v>12</v>
      </c>
      <c r="D132" t="s">
        <v>27</v>
      </c>
      <c r="E132" t="s">
        <v>28</v>
      </c>
      <c r="F132" t="s">
        <v>22</v>
      </c>
      <c r="G132">
        <v>1</v>
      </c>
      <c r="H132">
        <v>1936.83</v>
      </c>
      <c r="I132">
        <v>392.01</v>
      </c>
      <c r="J132" t="s">
        <v>16</v>
      </c>
      <c r="K132" t="str">
        <f t="shared" si="16"/>
        <v>North</v>
      </c>
      <c r="L132" t="str">
        <f t="shared" si="17"/>
        <v>Clothing</v>
      </c>
      <c r="M132" t="str">
        <f t="shared" si="18"/>
        <v>Dress</v>
      </c>
      <c r="N132" t="str">
        <f t="shared" si="19"/>
        <v>OK</v>
      </c>
      <c r="O132" t="str">
        <f t="shared" si="20"/>
        <v>Existing</v>
      </c>
      <c r="P132" t="str">
        <f t="shared" si="21"/>
        <v>Net Banking</v>
      </c>
      <c r="Q132">
        <f t="shared" si="22"/>
        <v>1936.83</v>
      </c>
      <c r="R132">
        <f t="shared" si="23"/>
        <v>392.01</v>
      </c>
    </row>
    <row r="133" spans="1:18">
      <c r="A133" t="s">
        <v>125</v>
      </c>
      <c r="B133" t="s">
        <v>61</v>
      </c>
      <c r="C133" t="s">
        <v>19</v>
      </c>
      <c r="D133" t="s">
        <v>27</v>
      </c>
      <c r="E133" t="s">
        <v>28</v>
      </c>
      <c r="F133" t="s">
        <v>22</v>
      </c>
      <c r="G133">
        <v>2</v>
      </c>
      <c r="H133">
        <v>3613.59</v>
      </c>
      <c r="I133">
        <v>632.97</v>
      </c>
      <c r="J133" t="s">
        <v>16</v>
      </c>
      <c r="K133" t="str">
        <f t="shared" si="16"/>
        <v>South</v>
      </c>
      <c r="L133" t="str">
        <f t="shared" si="17"/>
        <v>Clothing</v>
      </c>
      <c r="M133" t="str">
        <f t="shared" si="18"/>
        <v>Dress</v>
      </c>
      <c r="N133" t="str">
        <f t="shared" si="19"/>
        <v>OK</v>
      </c>
      <c r="O133" t="str">
        <f t="shared" si="20"/>
        <v>Existing</v>
      </c>
      <c r="P133" t="str">
        <f t="shared" si="21"/>
        <v>Net Banking</v>
      </c>
      <c r="Q133">
        <f t="shared" si="22"/>
        <v>3613.59</v>
      </c>
      <c r="R133">
        <f t="shared" si="23"/>
        <v>632.97</v>
      </c>
    </row>
    <row r="134" spans="1:18">
      <c r="A134" t="s">
        <v>286</v>
      </c>
      <c r="B134" t="s">
        <v>287</v>
      </c>
      <c r="C134" t="s">
        <v>19</v>
      </c>
      <c r="D134" t="s">
        <v>27</v>
      </c>
      <c r="E134" t="s">
        <v>28</v>
      </c>
      <c r="F134" t="s">
        <v>22</v>
      </c>
      <c r="G134">
        <v>5</v>
      </c>
      <c r="H134">
        <v>9367.3799999999992</v>
      </c>
      <c r="I134">
        <v>1925.13</v>
      </c>
      <c r="J134" t="s">
        <v>16</v>
      </c>
      <c r="K134" t="str">
        <f t="shared" si="16"/>
        <v>South</v>
      </c>
      <c r="L134" t="str">
        <f t="shared" si="17"/>
        <v>Clothing</v>
      </c>
      <c r="M134" t="str">
        <f t="shared" si="18"/>
        <v>Dress</v>
      </c>
      <c r="N134" t="str">
        <f t="shared" si="19"/>
        <v>OK</v>
      </c>
      <c r="O134" t="str">
        <f t="shared" si="20"/>
        <v>Existing</v>
      </c>
      <c r="P134" t="str">
        <f t="shared" si="21"/>
        <v>Net Banking</v>
      </c>
      <c r="Q134">
        <f t="shared" si="22"/>
        <v>9367.3799999999992</v>
      </c>
      <c r="R134">
        <f t="shared" si="23"/>
        <v>1925.13</v>
      </c>
    </row>
    <row r="135" spans="1:18">
      <c r="A135" t="s">
        <v>356</v>
      </c>
      <c r="B135" t="s">
        <v>357</v>
      </c>
      <c r="C135" t="s">
        <v>19</v>
      </c>
      <c r="D135" t="s">
        <v>27</v>
      </c>
      <c r="E135" t="s">
        <v>28</v>
      </c>
      <c r="F135" t="s">
        <v>22</v>
      </c>
      <c r="G135">
        <v>5</v>
      </c>
      <c r="H135">
        <v>8581.23</v>
      </c>
      <c r="I135">
        <v>905.62</v>
      </c>
      <c r="J135" t="s">
        <v>16</v>
      </c>
      <c r="K135" t="str">
        <f t="shared" si="16"/>
        <v>South</v>
      </c>
      <c r="L135" t="str">
        <f t="shared" si="17"/>
        <v>Clothing</v>
      </c>
      <c r="M135" t="str">
        <f t="shared" si="18"/>
        <v>Dress</v>
      </c>
      <c r="N135" t="str">
        <f t="shared" si="19"/>
        <v>OK</v>
      </c>
      <c r="O135" t="str">
        <f t="shared" si="20"/>
        <v>Existing</v>
      </c>
      <c r="P135" t="str">
        <f t="shared" si="21"/>
        <v>Net Banking</v>
      </c>
      <c r="Q135">
        <f t="shared" si="22"/>
        <v>8581.23</v>
      </c>
      <c r="R135">
        <f t="shared" si="23"/>
        <v>905.62</v>
      </c>
    </row>
    <row r="136" spans="1:18">
      <c r="A136" t="s">
        <v>425</v>
      </c>
      <c r="B136" t="s">
        <v>426</v>
      </c>
      <c r="C136" t="s">
        <v>19</v>
      </c>
      <c r="D136" t="s">
        <v>27</v>
      </c>
      <c r="E136" t="s">
        <v>28</v>
      </c>
      <c r="F136" t="s">
        <v>22</v>
      </c>
      <c r="G136">
        <v>5</v>
      </c>
      <c r="H136">
        <v>8982.33</v>
      </c>
      <c r="I136">
        <v>-552.52</v>
      </c>
      <c r="J136" t="s">
        <v>23</v>
      </c>
      <c r="K136" t="str">
        <f t="shared" si="16"/>
        <v>South</v>
      </c>
      <c r="L136" t="str">
        <f t="shared" si="17"/>
        <v>Clothing</v>
      </c>
      <c r="M136" t="str">
        <f t="shared" si="18"/>
        <v>Dress</v>
      </c>
      <c r="N136" t="str">
        <f t="shared" si="19"/>
        <v>OK</v>
      </c>
      <c r="O136" t="str">
        <f t="shared" si="20"/>
        <v>Existing</v>
      </c>
      <c r="P136" t="str">
        <f t="shared" si="21"/>
        <v>Card</v>
      </c>
      <c r="Q136">
        <f t="shared" si="22"/>
        <v>8982.33</v>
      </c>
      <c r="R136">
        <f t="shared" si="23"/>
        <v>-552.52</v>
      </c>
    </row>
    <row r="137" spans="1:18">
      <c r="A137" t="s">
        <v>24</v>
      </c>
      <c r="B137" t="s">
        <v>25</v>
      </c>
      <c r="C137" t="s">
        <v>26</v>
      </c>
      <c r="D137" t="s">
        <v>27</v>
      </c>
      <c r="E137" t="s">
        <v>28</v>
      </c>
      <c r="F137" t="s">
        <v>22</v>
      </c>
      <c r="G137">
        <v>3</v>
      </c>
      <c r="H137">
        <v>6052.75</v>
      </c>
      <c r="I137">
        <v>-470.06</v>
      </c>
      <c r="J137" t="s">
        <v>29</v>
      </c>
      <c r="K137" t="str">
        <f t="shared" si="16"/>
        <v>West</v>
      </c>
      <c r="L137" t="str">
        <f t="shared" si="17"/>
        <v>Clothing</v>
      </c>
      <c r="M137" t="str">
        <f t="shared" si="18"/>
        <v>Dress</v>
      </c>
      <c r="N137" t="str">
        <f t="shared" si="19"/>
        <v>OK</v>
      </c>
      <c r="O137" t="str">
        <f t="shared" si="20"/>
        <v>Existing</v>
      </c>
      <c r="P137" t="str">
        <f t="shared" si="21"/>
        <v>Cash</v>
      </c>
      <c r="Q137">
        <f t="shared" si="22"/>
        <v>6052.75</v>
      </c>
      <c r="R137">
        <f t="shared" si="23"/>
        <v>-470.06</v>
      </c>
    </row>
    <row r="138" spans="1:18">
      <c r="A138" t="s">
        <v>217</v>
      </c>
      <c r="B138" t="s">
        <v>87</v>
      </c>
      <c r="C138" t="s">
        <v>26</v>
      </c>
      <c r="D138" t="s">
        <v>27</v>
      </c>
      <c r="E138" t="s">
        <v>28</v>
      </c>
      <c r="F138" t="s">
        <v>22</v>
      </c>
      <c r="G138">
        <v>4</v>
      </c>
      <c r="H138">
        <v>8232.43</v>
      </c>
      <c r="I138">
        <v>-120.72</v>
      </c>
      <c r="J138" t="s">
        <v>34</v>
      </c>
      <c r="K138" t="str">
        <f t="shared" si="16"/>
        <v>West</v>
      </c>
      <c r="L138" t="str">
        <f t="shared" si="17"/>
        <v>Clothing</v>
      </c>
      <c r="M138" t="str">
        <f t="shared" si="18"/>
        <v>Dress</v>
      </c>
      <c r="N138" t="str">
        <f t="shared" si="19"/>
        <v>OK</v>
      </c>
      <c r="O138" t="str">
        <f t="shared" si="20"/>
        <v>Existing</v>
      </c>
      <c r="P138" t="str">
        <f t="shared" si="21"/>
        <v>Upi</v>
      </c>
      <c r="Q138">
        <f t="shared" si="22"/>
        <v>8232.43</v>
      </c>
      <c r="R138">
        <f t="shared" si="23"/>
        <v>-120.72</v>
      </c>
    </row>
    <row r="139" spans="1:18">
      <c r="A139" t="s">
        <v>321</v>
      </c>
      <c r="B139" t="s">
        <v>172</v>
      </c>
      <c r="C139" t="s">
        <v>26</v>
      </c>
      <c r="D139" t="s">
        <v>27</v>
      </c>
      <c r="E139" t="s">
        <v>28</v>
      </c>
      <c r="F139" t="s">
        <v>15</v>
      </c>
      <c r="G139">
        <v>5</v>
      </c>
      <c r="H139">
        <v>10363.040000000001</v>
      </c>
      <c r="I139">
        <v>1927.65</v>
      </c>
      <c r="J139" t="s">
        <v>29</v>
      </c>
      <c r="K139" t="str">
        <f t="shared" si="16"/>
        <v>West</v>
      </c>
      <c r="L139" t="str">
        <f t="shared" si="17"/>
        <v>Clothing</v>
      </c>
      <c r="M139" t="str">
        <f t="shared" si="18"/>
        <v>Dress</v>
      </c>
      <c r="N139" t="str">
        <f t="shared" si="19"/>
        <v>OK</v>
      </c>
      <c r="O139" t="str">
        <f t="shared" si="20"/>
        <v>New</v>
      </c>
      <c r="P139" t="str">
        <f t="shared" si="21"/>
        <v>Cash</v>
      </c>
      <c r="Q139">
        <f t="shared" si="22"/>
        <v>10363.040000000001</v>
      </c>
      <c r="R139">
        <f t="shared" si="23"/>
        <v>1927.65</v>
      </c>
    </row>
    <row r="140" spans="1:18">
      <c r="A140" t="s">
        <v>409</v>
      </c>
      <c r="B140" t="s">
        <v>410</v>
      </c>
      <c r="C140" t="s">
        <v>26</v>
      </c>
      <c r="D140" t="s">
        <v>27</v>
      </c>
      <c r="E140" t="s">
        <v>28</v>
      </c>
      <c r="F140" t="s">
        <v>22</v>
      </c>
      <c r="G140">
        <v>3</v>
      </c>
      <c r="H140">
        <v>5346.41</v>
      </c>
      <c r="I140">
        <v>-121.03</v>
      </c>
      <c r="J140" t="s">
        <v>29</v>
      </c>
      <c r="K140" t="str">
        <f t="shared" si="16"/>
        <v>West</v>
      </c>
      <c r="L140" t="str">
        <f t="shared" si="17"/>
        <v>Clothing</v>
      </c>
      <c r="M140" t="str">
        <f t="shared" si="18"/>
        <v>Dress</v>
      </c>
      <c r="N140" t="str">
        <f t="shared" si="19"/>
        <v>OK</v>
      </c>
      <c r="O140" t="str">
        <f t="shared" si="20"/>
        <v>Existing</v>
      </c>
      <c r="P140" t="str">
        <f t="shared" si="21"/>
        <v>Cash</v>
      </c>
      <c r="Q140">
        <f t="shared" si="22"/>
        <v>5346.41</v>
      </c>
      <c r="R140">
        <f t="shared" si="23"/>
        <v>-121.03</v>
      </c>
    </row>
    <row r="141" spans="1:18">
      <c r="A141" t="s">
        <v>467</v>
      </c>
      <c r="B141" t="s">
        <v>468</v>
      </c>
      <c r="C141" t="s">
        <v>26</v>
      </c>
      <c r="D141" t="s">
        <v>27</v>
      </c>
      <c r="E141" t="s">
        <v>28</v>
      </c>
      <c r="F141" t="s">
        <v>22</v>
      </c>
      <c r="G141">
        <v>4</v>
      </c>
      <c r="H141">
        <v>7648.54</v>
      </c>
      <c r="I141">
        <v>1655.22</v>
      </c>
      <c r="J141" t="s">
        <v>23</v>
      </c>
      <c r="K141" t="str">
        <f t="shared" si="16"/>
        <v>West</v>
      </c>
      <c r="L141" t="str">
        <f t="shared" si="17"/>
        <v>Clothing</v>
      </c>
      <c r="M141" t="str">
        <f t="shared" si="18"/>
        <v>Dress</v>
      </c>
      <c r="N141" t="str">
        <f t="shared" si="19"/>
        <v>OK</v>
      </c>
      <c r="O141" t="str">
        <f t="shared" si="20"/>
        <v>Existing</v>
      </c>
      <c r="P141" t="str">
        <f t="shared" si="21"/>
        <v>Card</v>
      </c>
      <c r="Q141">
        <f t="shared" si="22"/>
        <v>7648.54</v>
      </c>
      <c r="R141">
        <f t="shared" si="23"/>
        <v>1655.22</v>
      </c>
    </row>
    <row r="142" spans="1:18">
      <c r="A142" t="s">
        <v>30</v>
      </c>
      <c r="B142" t="s">
        <v>31</v>
      </c>
      <c r="C142" t="s">
        <v>32</v>
      </c>
      <c r="D142" t="s">
        <v>20</v>
      </c>
      <c r="E142" t="s">
        <v>33</v>
      </c>
      <c r="F142" t="s">
        <v>22</v>
      </c>
      <c r="G142">
        <v>3</v>
      </c>
      <c r="H142">
        <v>6903.32</v>
      </c>
      <c r="I142">
        <v>391.93</v>
      </c>
      <c r="J142" t="s">
        <v>34</v>
      </c>
      <c r="K142" t="str">
        <f t="shared" si="16"/>
        <v>East</v>
      </c>
      <c r="L142" t="str">
        <f t="shared" si="17"/>
        <v>Electronics</v>
      </c>
      <c r="M142" t="str">
        <f t="shared" si="18"/>
        <v>Headphones</v>
      </c>
      <c r="N142" t="str">
        <f t="shared" si="19"/>
        <v>OK</v>
      </c>
      <c r="O142" t="str">
        <f t="shared" si="20"/>
        <v>Existing</v>
      </c>
      <c r="P142" t="str">
        <f t="shared" si="21"/>
        <v>Upi</v>
      </c>
      <c r="Q142">
        <f t="shared" si="22"/>
        <v>6903.32</v>
      </c>
      <c r="R142">
        <f t="shared" si="23"/>
        <v>391.93</v>
      </c>
    </row>
    <row r="143" spans="1:18">
      <c r="A143" t="s">
        <v>256</v>
      </c>
      <c r="B143" t="s">
        <v>257</v>
      </c>
      <c r="C143" t="s">
        <v>32</v>
      </c>
      <c r="D143" t="s">
        <v>20</v>
      </c>
      <c r="E143" t="s">
        <v>33</v>
      </c>
      <c r="F143" t="s">
        <v>15</v>
      </c>
      <c r="G143">
        <v>2</v>
      </c>
      <c r="H143">
        <v>5286.51</v>
      </c>
      <c r="I143">
        <v>1245.1099999999999</v>
      </c>
      <c r="J143" t="s">
        <v>29</v>
      </c>
      <c r="K143" t="str">
        <f t="shared" si="16"/>
        <v>East</v>
      </c>
      <c r="L143" t="str">
        <f t="shared" si="17"/>
        <v>Electronics</v>
      </c>
      <c r="M143" t="str">
        <f t="shared" si="18"/>
        <v>Headphones</v>
      </c>
      <c r="N143" t="str">
        <f t="shared" si="19"/>
        <v>OK</v>
      </c>
      <c r="O143" t="str">
        <f t="shared" si="20"/>
        <v>New</v>
      </c>
      <c r="P143" t="str">
        <f t="shared" si="21"/>
        <v>Cash</v>
      </c>
      <c r="Q143">
        <f t="shared" si="22"/>
        <v>5286.51</v>
      </c>
      <c r="R143">
        <f t="shared" si="23"/>
        <v>1245.1099999999999</v>
      </c>
    </row>
    <row r="144" spans="1:18">
      <c r="A144" t="s">
        <v>135</v>
      </c>
      <c r="B144" t="s">
        <v>136</v>
      </c>
      <c r="C144" t="s">
        <v>12</v>
      </c>
      <c r="D144" t="s">
        <v>20</v>
      </c>
      <c r="E144" t="s">
        <v>33</v>
      </c>
      <c r="F144" t="s">
        <v>15</v>
      </c>
      <c r="G144">
        <v>3</v>
      </c>
      <c r="H144">
        <v>7086.96</v>
      </c>
      <c r="I144">
        <v>-58.92</v>
      </c>
      <c r="J144" t="s">
        <v>16</v>
      </c>
      <c r="K144" t="str">
        <f t="shared" si="16"/>
        <v>North</v>
      </c>
      <c r="L144" t="str">
        <f t="shared" si="17"/>
        <v>Electronics</v>
      </c>
      <c r="M144" t="str">
        <f t="shared" si="18"/>
        <v>Headphones</v>
      </c>
      <c r="N144" t="str">
        <f t="shared" si="19"/>
        <v>OK</v>
      </c>
      <c r="O144" t="str">
        <f t="shared" si="20"/>
        <v>New</v>
      </c>
      <c r="P144" t="str">
        <f t="shared" si="21"/>
        <v>Net Banking</v>
      </c>
      <c r="Q144">
        <f t="shared" si="22"/>
        <v>7086.96</v>
      </c>
      <c r="R144">
        <f t="shared" si="23"/>
        <v>-58.92</v>
      </c>
    </row>
    <row r="145" spans="1:18">
      <c r="A145" t="s">
        <v>522</v>
      </c>
      <c r="B145" t="s">
        <v>114</v>
      </c>
      <c r="C145" t="s">
        <v>12</v>
      </c>
      <c r="D145" t="s">
        <v>20</v>
      </c>
      <c r="E145" t="s">
        <v>33</v>
      </c>
      <c r="F145" t="s">
        <v>15</v>
      </c>
      <c r="G145">
        <v>4</v>
      </c>
      <c r="H145">
        <v>9897.69</v>
      </c>
      <c r="I145">
        <v>1184.82</v>
      </c>
      <c r="J145" t="s">
        <v>34</v>
      </c>
      <c r="K145" t="str">
        <f t="shared" si="16"/>
        <v>North</v>
      </c>
      <c r="L145" t="str">
        <f t="shared" si="17"/>
        <v>Electronics</v>
      </c>
      <c r="M145" t="str">
        <f t="shared" si="18"/>
        <v>Headphones</v>
      </c>
      <c r="N145" t="str">
        <f t="shared" si="19"/>
        <v>OK</v>
      </c>
      <c r="O145" t="str">
        <f t="shared" si="20"/>
        <v>New</v>
      </c>
      <c r="P145" t="str">
        <f t="shared" si="21"/>
        <v>Upi</v>
      </c>
      <c r="Q145">
        <f t="shared" si="22"/>
        <v>9897.69</v>
      </c>
      <c r="R145">
        <f t="shared" si="23"/>
        <v>1184.82</v>
      </c>
    </row>
    <row r="146" spans="1:18">
      <c r="A146" t="s">
        <v>68</v>
      </c>
      <c r="B146" t="s">
        <v>69</v>
      </c>
      <c r="C146" t="s">
        <v>19</v>
      </c>
      <c r="D146" t="s">
        <v>20</v>
      </c>
      <c r="E146" t="s">
        <v>33</v>
      </c>
      <c r="F146" t="s">
        <v>15</v>
      </c>
      <c r="G146">
        <v>2</v>
      </c>
      <c r="H146">
        <v>4564.03</v>
      </c>
      <c r="I146">
        <v>-330.56</v>
      </c>
      <c r="J146" t="s">
        <v>34</v>
      </c>
      <c r="K146" t="str">
        <f t="shared" si="16"/>
        <v>South</v>
      </c>
      <c r="L146" t="str">
        <f t="shared" si="17"/>
        <v>Electronics</v>
      </c>
      <c r="M146" t="str">
        <f t="shared" si="18"/>
        <v>Headphones</v>
      </c>
      <c r="N146" t="str">
        <f t="shared" si="19"/>
        <v>OK</v>
      </c>
      <c r="O146" t="str">
        <f t="shared" si="20"/>
        <v>New</v>
      </c>
      <c r="P146" t="str">
        <f t="shared" si="21"/>
        <v>Upi</v>
      </c>
      <c r="Q146">
        <f t="shared" si="22"/>
        <v>4564.03</v>
      </c>
      <c r="R146">
        <f t="shared" si="23"/>
        <v>-330.56</v>
      </c>
    </row>
    <row r="147" spans="1:18">
      <c r="A147" t="s">
        <v>324</v>
      </c>
      <c r="B147" t="s">
        <v>325</v>
      </c>
      <c r="C147" t="s">
        <v>19</v>
      </c>
      <c r="D147" t="s">
        <v>20</v>
      </c>
      <c r="E147" t="s">
        <v>33</v>
      </c>
      <c r="F147" t="s">
        <v>22</v>
      </c>
      <c r="G147">
        <v>4</v>
      </c>
      <c r="H147">
        <v>10981.97</v>
      </c>
      <c r="I147">
        <v>1193.3499999999999</v>
      </c>
      <c r="J147" t="s">
        <v>29</v>
      </c>
      <c r="K147" t="str">
        <f t="shared" si="16"/>
        <v>South</v>
      </c>
      <c r="L147" t="str">
        <f t="shared" si="17"/>
        <v>Electronics</v>
      </c>
      <c r="M147" t="str">
        <f t="shared" si="18"/>
        <v>Headphones</v>
      </c>
      <c r="N147" t="str">
        <f t="shared" si="19"/>
        <v>OK</v>
      </c>
      <c r="O147" t="str">
        <f t="shared" si="20"/>
        <v>Existing</v>
      </c>
      <c r="P147" t="str">
        <f t="shared" si="21"/>
        <v>Cash</v>
      </c>
      <c r="Q147">
        <f t="shared" si="22"/>
        <v>10981.97</v>
      </c>
      <c r="R147">
        <f t="shared" si="23"/>
        <v>1193.3499999999999</v>
      </c>
    </row>
    <row r="148" spans="1:18">
      <c r="A148" t="s">
        <v>140</v>
      </c>
      <c r="B148" t="s">
        <v>58</v>
      </c>
      <c r="C148" t="s">
        <v>26</v>
      </c>
      <c r="D148" t="s">
        <v>20</v>
      </c>
      <c r="E148" t="s">
        <v>33</v>
      </c>
      <c r="F148" t="s">
        <v>15</v>
      </c>
      <c r="G148">
        <v>1</v>
      </c>
      <c r="H148">
        <v>2696.33</v>
      </c>
      <c r="I148">
        <v>619.51</v>
      </c>
      <c r="J148" t="s">
        <v>23</v>
      </c>
      <c r="K148" t="str">
        <f t="shared" si="16"/>
        <v>West</v>
      </c>
      <c r="L148" t="str">
        <f t="shared" si="17"/>
        <v>Electronics</v>
      </c>
      <c r="M148" t="str">
        <f t="shared" si="18"/>
        <v>Headphones</v>
      </c>
      <c r="N148" t="str">
        <f t="shared" si="19"/>
        <v>OK</v>
      </c>
      <c r="O148" t="str">
        <f t="shared" si="20"/>
        <v>New</v>
      </c>
      <c r="P148" t="str">
        <f t="shared" si="21"/>
        <v>Card</v>
      </c>
      <c r="Q148">
        <f t="shared" si="22"/>
        <v>2696.33</v>
      </c>
      <c r="R148">
        <f t="shared" si="23"/>
        <v>619.51</v>
      </c>
    </row>
    <row r="149" spans="1:18">
      <c r="A149" t="s">
        <v>149</v>
      </c>
      <c r="B149" t="s">
        <v>150</v>
      </c>
      <c r="C149" t="s">
        <v>26</v>
      </c>
      <c r="D149" t="s">
        <v>20</v>
      </c>
      <c r="E149" t="s">
        <v>33</v>
      </c>
      <c r="F149" t="s">
        <v>22</v>
      </c>
      <c r="G149">
        <v>4</v>
      </c>
      <c r="H149">
        <v>10387.9</v>
      </c>
      <c r="I149">
        <v>1810.72</v>
      </c>
      <c r="J149" t="s">
        <v>29</v>
      </c>
      <c r="K149" t="str">
        <f t="shared" si="16"/>
        <v>West</v>
      </c>
      <c r="L149" t="str">
        <f t="shared" si="17"/>
        <v>Electronics</v>
      </c>
      <c r="M149" t="str">
        <f t="shared" si="18"/>
        <v>Headphones</v>
      </c>
      <c r="N149" t="str">
        <f t="shared" si="19"/>
        <v>OK</v>
      </c>
      <c r="O149" t="str">
        <f t="shared" si="20"/>
        <v>Existing</v>
      </c>
      <c r="P149" t="str">
        <f t="shared" si="21"/>
        <v>Cash</v>
      </c>
      <c r="Q149">
        <f t="shared" si="22"/>
        <v>10387.9</v>
      </c>
      <c r="R149">
        <f t="shared" si="23"/>
        <v>1810.72</v>
      </c>
    </row>
    <row r="150" spans="1:18">
      <c r="A150" t="s">
        <v>183</v>
      </c>
      <c r="B150" t="s">
        <v>184</v>
      </c>
      <c r="C150" t="s">
        <v>26</v>
      </c>
      <c r="D150" t="s">
        <v>20</v>
      </c>
      <c r="E150" t="s">
        <v>33</v>
      </c>
      <c r="F150" t="s">
        <v>22</v>
      </c>
      <c r="G150">
        <v>4</v>
      </c>
      <c r="H150">
        <v>9977.16</v>
      </c>
      <c r="I150">
        <v>1924.99</v>
      </c>
      <c r="J150" t="s">
        <v>16</v>
      </c>
      <c r="K150" t="str">
        <f t="shared" si="16"/>
        <v>West</v>
      </c>
      <c r="L150" t="str">
        <f t="shared" si="17"/>
        <v>Electronics</v>
      </c>
      <c r="M150" t="str">
        <f t="shared" si="18"/>
        <v>Headphones</v>
      </c>
      <c r="N150" t="str">
        <f t="shared" si="19"/>
        <v>OK</v>
      </c>
      <c r="O150" t="str">
        <f t="shared" si="20"/>
        <v>Existing</v>
      </c>
      <c r="P150" t="str">
        <f t="shared" si="21"/>
        <v>Net Banking</v>
      </c>
      <c r="Q150">
        <f t="shared" si="22"/>
        <v>9977.16</v>
      </c>
      <c r="R150">
        <f t="shared" si="23"/>
        <v>1924.99</v>
      </c>
    </row>
    <row r="151" spans="1:18">
      <c r="A151" t="s">
        <v>223</v>
      </c>
      <c r="B151" t="s">
        <v>224</v>
      </c>
      <c r="C151" t="s">
        <v>26</v>
      </c>
      <c r="D151" t="s">
        <v>20</v>
      </c>
      <c r="E151" t="s">
        <v>33</v>
      </c>
      <c r="F151" t="s">
        <v>15</v>
      </c>
      <c r="G151">
        <v>3</v>
      </c>
      <c r="H151">
        <v>7573.83</v>
      </c>
      <c r="I151">
        <v>1923.47</v>
      </c>
      <c r="J151" t="s">
        <v>34</v>
      </c>
      <c r="K151" t="str">
        <f t="shared" si="16"/>
        <v>West</v>
      </c>
      <c r="L151" t="str">
        <f t="shared" si="17"/>
        <v>Electronics</v>
      </c>
      <c r="M151" t="str">
        <f t="shared" si="18"/>
        <v>Headphones</v>
      </c>
      <c r="N151" t="str">
        <f t="shared" si="19"/>
        <v>OK</v>
      </c>
      <c r="O151" t="str">
        <f t="shared" si="20"/>
        <v>New</v>
      </c>
      <c r="P151" t="str">
        <f t="shared" si="21"/>
        <v>Upi</v>
      </c>
      <c r="Q151">
        <f t="shared" si="22"/>
        <v>7573.83</v>
      </c>
      <c r="R151">
        <f t="shared" si="23"/>
        <v>1923.47</v>
      </c>
    </row>
    <row r="152" spans="1:18">
      <c r="A152" t="s">
        <v>368</v>
      </c>
      <c r="B152" t="s">
        <v>369</v>
      </c>
      <c r="C152" t="s">
        <v>26</v>
      </c>
      <c r="D152" t="s">
        <v>20</v>
      </c>
      <c r="E152" t="s">
        <v>33</v>
      </c>
      <c r="F152" t="s">
        <v>22</v>
      </c>
      <c r="G152">
        <v>1</v>
      </c>
      <c r="H152">
        <v>2407.8000000000002</v>
      </c>
      <c r="I152">
        <v>76.150000000000006</v>
      </c>
      <c r="J152" t="s">
        <v>34</v>
      </c>
      <c r="K152" t="str">
        <f t="shared" si="16"/>
        <v>West</v>
      </c>
      <c r="L152" t="str">
        <f t="shared" si="17"/>
        <v>Electronics</v>
      </c>
      <c r="M152" t="str">
        <f t="shared" si="18"/>
        <v>Headphones</v>
      </c>
      <c r="N152" t="str">
        <f t="shared" si="19"/>
        <v>OK</v>
      </c>
      <c r="O152" t="str">
        <f t="shared" si="20"/>
        <v>Existing</v>
      </c>
      <c r="P152" t="str">
        <f t="shared" si="21"/>
        <v>Upi</v>
      </c>
      <c r="Q152">
        <f t="shared" si="22"/>
        <v>2407.8000000000002</v>
      </c>
      <c r="R152">
        <f t="shared" si="23"/>
        <v>76.150000000000006</v>
      </c>
    </row>
    <row r="153" spans="1:18">
      <c r="A153" t="s">
        <v>497</v>
      </c>
      <c r="B153" t="s">
        <v>498</v>
      </c>
      <c r="C153" t="s">
        <v>26</v>
      </c>
      <c r="D153" t="s">
        <v>20</v>
      </c>
      <c r="E153" t="s">
        <v>33</v>
      </c>
      <c r="F153" t="s">
        <v>22</v>
      </c>
      <c r="G153">
        <v>1</v>
      </c>
      <c r="H153">
        <v>2603.58</v>
      </c>
      <c r="I153">
        <v>-199.72</v>
      </c>
      <c r="J153" t="s">
        <v>34</v>
      </c>
      <c r="K153" t="str">
        <f t="shared" si="16"/>
        <v>West</v>
      </c>
      <c r="L153" t="str">
        <f t="shared" si="17"/>
        <v>Electronics</v>
      </c>
      <c r="M153" t="str">
        <f t="shared" si="18"/>
        <v>Headphones</v>
      </c>
      <c r="N153" t="str">
        <f t="shared" si="19"/>
        <v>OK</v>
      </c>
      <c r="O153" t="str">
        <f t="shared" si="20"/>
        <v>Existing</v>
      </c>
      <c r="P153" t="str">
        <f t="shared" si="21"/>
        <v>Upi</v>
      </c>
      <c r="Q153">
        <f t="shared" si="22"/>
        <v>2603.58</v>
      </c>
      <c r="R153">
        <f t="shared" si="23"/>
        <v>-199.72</v>
      </c>
    </row>
    <row r="154" spans="1:18">
      <c r="A154" t="s">
        <v>529</v>
      </c>
      <c r="B154" t="s">
        <v>202</v>
      </c>
      <c r="C154" t="s">
        <v>26</v>
      </c>
      <c r="D154" t="s">
        <v>20</v>
      </c>
      <c r="E154" t="s">
        <v>33</v>
      </c>
      <c r="F154" t="s">
        <v>22</v>
      </c>
      <c r="G154">
        <v>3</v>
      </c>
      <c r="H154">
        <v>6760.15</v>
      </c>
      <c r="I154">
        <v>422.17</v>
      </c>
      <c r="J154" t="s">
        <v>16</v>
      </c>
      <c r="K154" t="str">
        <f t="shared" si="16"/>
        <v>West</v>
      </c>
      <c r="L154" t="str">
        <f t="shared" si="17"/>
        <v>Electronics</v>
      </c>
      <c r="M154" t="str">
        <f t="shared" si="18"/>
        <v>Headphones</v>
      </c>
      <c r="N154" t="str">
        <f t="shared" si="19"/>
        <v>OK</v>
      </c>
      <c r="O154" t="str">
        <f t="shared" si="20"/>
        <v>Existing</v>
      </c>
      <c r="P154" t="str">
        <f t="shared" si="21"/>
        <v>Net Banking</v>
      </c>
      <c r="Q154">
        <f t="shared" si="22"/>
        <v>6760.15</v>
      </c>
      <c r="R154">
        <f t="shared" si="23"/>
        <v>422.17</v>
      </c>
    </row>
    <row r="155" spans="1:18">
      <c r="A155" t="s">
        <v>213</v>
      </c>
      <c r="B155" t="s">
        <v>214</v>
      </c>
      <c r="C155" t="s">
        <v>32</v>
      </c>
      <c r="D155" t="s">
        <v>27</v>
      </c>
      <c r="E155" t="s">
        <v>106</v>
      </c>
      <c r="G155">
        <v>5</v>
      </c>
      <c r="H155">
        <v>9987.69</v>
      </c>
      <c r="I155">
        <v>754.37</v>
      </c>
      <c r="J155" t="s">
        <v>34</v>
      </c>
      <c r="K155" t="str">
        <f t="shared" si="16"/>
        <v>East</v>
      </c>
      <c r="L155" t="str">
        <f t="shared" si="17"/>
        <v>Clothing</v>
      </c>
      <c r="M155" t="str">
        <f t="shared" si="18"/>
        <v>Jacket</v>
      </c>
      <c r="N155" t="str">
        <f t="shared" si="19"/>
        <v>Review</v>
      </c>
      <c r="O155" t="str">
        <f t="shared" si="20"/>
        <v>Review</v>
      </c>
      <c r="P155" t="str">
        <f t="shared" si="21"/>
        <v>Upi</v>
      </c>
      <c r="Q155">
        <f t="shared" si="22"/>
        <v>9987.69</v>
      </c>
      <c r="R155">
        <f t="shared" si="23"/>
        <v>754.37</v>
      </c>
    </row>
    <row r="156" spans="1:18">
      <c r="A156" t="s">
        <v>520</v>
      </c>
      <c r="B156" t="s">
        <v>521</v>
      </c>
      <c r="C156" t="s">
        <v>32</v>
      </c>
      <c r="D156" t="s">
        <v>27</v>
      </c>
      <c r="E156" t="s">
        <v>106</v>
      </c>
      <c r="F156" t="s">
        <v>15</v>
      </c>
      <c r="G156">
        <v>1</v>
      </c>
      <c r="H156">
        <v>1982.29</v>
      </c>
      <c r="I156">
        <v>61.4</v>
      </c>
      <c r="J156" t="s">
        <v>23</v>
      </c>
      <c r="K156" t="str">
        <f t="shared" si="16"/>
        <v>East</v>
      </c>
      <c r="L156" t="str">
        <f t="shared" si="17"/>
        <v>Clothing</v>
      </c>
      <c r="M156" t="str">
        <f t="shared" si="18"/>
        <v>Jacket</v>
      </c>
      <c r="N156" t="str">
        <f t="shared" si="19"/>
        <v>OK</v>
      </c>
      <c r="O156" t="str">
        <f t="shared" si="20"/>
        <v>New</v>
      </c>
      <c r="P156" t="str">
        <f t="shared" si="21"/>
        <v>Card</v>
      </c>
      <c r="Q156">
        <f t="shared" si="22"/>
        <v>1982.29</v>
      </c>
      <c r="R156">
        <f t="shared" si="23"/>
        <v>61.4</v>
      </c>
    </row>
    <row r="157" spans="1:18">
      <c r="A157" t="s">
        <v>104</v>
      </c>
      <c r="B157" t="s">
        <v>105</v>
      </c>
      <c r="C157" t="s">
        <v>12</v>
      </c>
      <c r="D157" t="s">
        <v>27</v>
      </c>
      <c r="E157" t="s">
        <v>106</v>
      </c>
      <c r="F157" t="s">
        <v>22</v>
      </c>
      <c r="G157">
        <v>1</v>
      </c>
      <c r="H157">
        <v>2259.09</v>
      </c>
      <c r="I157">
        <v>493.76</v>
      </c>
      <c r="J157" t="s">
        <v>23</v>
      </c>
      <c r="K157" t="str">
        <f t="shared" si="16"/>
        <v>North</v>
      </c>
      <c r="L157" t="str">
        <f t="shared" si="17"/>
        <v>Clothing</v>
      </c>
      <c r="M157" t="str">
        <f t="shared" si="18"/>
        <v>Jacket</v>
      </c>
      <c r="N157" t="str">
        <f t="shared" si="19"/>
        <v>OK</v>
      </c>
      <c r="O157" t="str">
        <f t="shared" si="20"/>
        <v>Existing</v>
      </c>
      <c r="P157" t="str">
        <f t="shared" si="21"/>
        <v>Card</v>
      </c>
      <c r="Q157">
        <f t="shared" si="22"/>
        <v>2259.09</v>
      </c>
      <c r="R157">
        <f t="shared" si="23"/>
        <v>493.76</v>
      </c>
    </row>
    <row r="158" spans="1:18">
      <c r="A158" t="s">
        <v>318</v>
      </c>
      <c r="B158" t="s">
        <v>285</v>
      </c>
      <c r="C158" t="s">
        <v>12</v>
      </c>
      <c r="D158" t="s">
        <v>27</v>
      </c>
      <c r="E158" t="s">
        <v>106</v>
      </c>
      <c r="F158" t="s">
        <v>22</v>
      </c>
      <c r="G158">
        <v>4</v>
      </c>
      <c r="H158">
        <v>8698.2900000000009</v>
      </c>
      <c r="I158">
        <v>252.38</v>
      </c>
      <c r="J158" t="s">
        <v>34</v>
      </c>
      <c r="K158" t="str">
        <f t="shared" si="16"/>
        <v>North</v>
      </c>
      <c r="L158" t="str">
        <f t="shared" si="17"/>
        <v>Clothing</v>
      </c>
      <c r="M158" t="str">
        <f t="shared" si="18"/>
        <v>Jacket</v>
      </c>
      <c r="N158" t="str">
        <f t="shared" si="19"/>
        <v>OK</v>
      </c>
      <c r="O158" t="str">
        <f t="shared" si="20"/>
        <v>Existing</v>
      </c>
      <c r="P158" t="str">
        <f t="shared" si="21"/>
        <v>Upi</v>
      </c>
      <c r="Q158">
        <f t="shared" si="22"/>
        <v>8698.2900000000009</v>
      </c>
      <c r="R158">
        <f t="shared" si="23"/>
        <v>252.38</v>
      </c>
    </row>
    <row r="159" spans="1:18">
      <c r="A159" t="s">
        <v>392</v>
      </c>
      <c r="B159" t="s">
        <v>110</v>
      </c>
      <c r="C159" t="s">
        <v>19</v>
      </c>
      <c r="D159" t="s">
        <v>27</v>
      </c>
      <c r="E159" t="s">
        <v>106</v>
      </c>
      <c r="F159" t="s">
        <v>15</v>
      </c>
      <c r="G159">
        <v>3</v>
      </c>
      <c r="H159">
        <v>6671.31</v>
      </c>
      <c r="I159">
        <v>352.3</v>
      </c>
      <c r="J159" t="s">
        <v>34</v>
      </c>
      <c r="K159" t="str">
        <f t="shared" si="16"/>
        <v>South</v>
      </c>
      <c r="L159" t="str">
        <f t="shared" si="17"/>
        <v>Clothing</v>
      </c>
      <c r="M159" t="str">
        <f t="shared" si="18"/>
        <v>Jacket</v>
      </c>
      <c r="N159" t="str">
        <f t="shared" si="19"/>
        <v>OK</v>
      </c>
      <c r="O159" t="str">
        <f t="shared" si="20"/>
        <v>New</v>
      </c>
      <c r="P159" t="str">
        <f t="shared" si="21"/>
        <v>Upi</v>
      </c>
      <c r="Q159">
        <f t="shared" si="22"/>
        <v>6671.31</v>
      </c>
      <c r="R159">
        <f t="shared" si="23"/>
        <v>352.3</v>
      </c>
    </row>
    <row r="160" spans="1:18">
      <c r="A160" t="s">
        <v>411</v>
      </c>
      <c r="B160" t="s">
        <v>357</v>
      </c>
      <c r="C160" t="s">
        <v>19</v>
      </c>
      <c r="D160" t="s">
        <v>27</v>
      </c>
      <c r="E160" t="s">
        <v>106</v>
      </c>
      <c r="F160" t="s">
        <v>22</v>
      </c>
      <c r="G160">
        <v>1</v>
      </c>
      <c r="H160">
        <v>2395.9</v>
      </c>
      <c r="I160">
        <v>244.29</v>
      </c>
      <c r="J160" t="s">
        <v>34</v>
      </c>
      <c r="K160" t="str">
        <f t="shared" si="16"/>
        <v>South</v>
      </c>
      <c r="L160" t="str">
        <f t="shared" si="17"/>
        <v>Clothing</v>
      </c>
      <c r="M160" t="str">
        <f t="shared" si="18"/>
        <v>Jacket</v>
      </c>
      <c r="N160" t="str">
        <f t="shared" si="19"/>
        <v>OK</v>
      </c>
      <c r="O160" t="str">
        <f t="shared" si="20"/>
        <v>Existing</v>
      </c>
      <c r="P160" t="str">
        <f t="shared" si="21"/>
        <v>Upi</v>
      </c>
      <c r="Q160">
        <f t="shared" si="22"/>
        <v>2395.9</v>
      </c>
      <c r="R160">
        <f t="shared" si="23"/>
        <v>244.29</v>
      </c>
    </row>
    <row r="161" spans="1:18">
      <c r="A161" t="s">
        <v>524</v>
      </c>
      <c r="B161" t="s">
        <v>73</v>
      </c>
      <c r="C161" t="s">
        <v>19</v>
      </c>
      <c r="D161" t="s">
        <v>27</v>
      </c>
      <c r="E161" t="s">
        <v>106</v>
      </c>
      <c r="F161" t="s">
        <v>22</v>
      </c>
      <c r="G161">
        <v>5</v>
      </c>
      <c r="H161">
        <v>11891.46</v>
      </c>
      <c r="I161">
        <v>3236.17</v>
      </c>
      <c r="J161" t="s">
        <v>23</v>
      </c>
      <c r="K161" t="str">
        <f t="shared" si="16"/>
        <v>South</v>
      </c>
      <c r="L161" t="str">
        <f t="shared" si="17"/>
        <v>Clothing</v>
      </c>
      <c r="M161" t="str">
        <f t="shared" si="18"/>
        <v>Jacket</v>
      </c>
      <c r="N161" t="str">
        <f t="shared" si="19"/>
        <v>OK</v>
      </c>
      <c r="O161" t="str">
        <f t="shared" si="20"/>
        <v>Existing</v>
      </c>
      <c r="P161" t="str">
        <f t="shared" si="21"/>
        <v>Card</v>
      </c>
      <c r="Q161">
        <f t="shared" si="22"/>
        <v>11891.46</v>
      </c>
      <c r="R161">
        <f t="shared" si="23"/>
        <v>3236.17</v>
      </c>
    </row>
    <row r="162" spans="1:18">
      <c r="A162" t="s">
        <v>280</v>
      </c>
      <c r="B162" t="s">
        <v>150</v>
      </c>
      <c r="C162" t="s">
        <v>26</v>
      </c>
      <c r="D162" t="s">
        <v>27</v>
      </c>
      <c r="E162" t="s">
        <v>106</v>
      </c>
      <c r="F162" t="s">
        <v>22</v>
      </c>
      <c r="G162">
        <v>2</v>
      </c>
      <c r="H162">
        <v>4612.71</v>
      </c>
      <c r="I162">
        <v>504.59</v>
      </c>
      <c r="J162" t="s">
        <v>29</v>
      </c>
      <c r="K162" t="str">
        <f t="shared" si="16"/>
        <v>West</v>
      </c>
      <c r="L162" t="str">
        <f t="shared" si="17"/>
        <v>Clothing</v>
      </c>
      <c r="M162" t="str">
        <f t="shared" si="18"/>
        <v>Jacket</v>
      </c>
      <c r="N162" t="str">
        <f t="shared" si="19"/>
        <v>OK</v>
      </c>
      <c r="O162" t="str">
        <f t="shared" si="20"/>
        <v>Existing</v>
      </c>
      <c r="P162" t="str">
        <f t="shared" si="21"/>
        <v>Cash</v>
      </c>
      <c r="Q162">
        <f t="shared" si="22"/>
        <v>4612.71</v>
      </c>
      <c r="R162">
        <f t="shared" si="23"/>
        <v>504.59</v>
      </c>
    </row>
    <row r="163" spans="1:18">
      <c r="A163" t="s">
        <v>307</v>
      </c>
      <c r="B163" t="s">
        <v>293</v>
      </c>
      <c r="C163" t="s">
        <v>26</v>
      </c>
      <c r="D163" t="s">
        <v>27</v>
      </c>
      <c r="E163" t="s">
        <v>106</v>
      </c>
      <c r="F163" t="s">
        <v>15</v>
      </c>
      <c r="G163">
        <v>1</v>
      </c>
      <c r="H163">
        <v>2198.85</v>
      </c>
      <c r="I163">
        <v>164.99</v>
      </c>
      <c r="J163" t="s">
        <v>29</v>
      </c>
      <c r="K163" t="str">
        <f t="shared" si="16"/>
        <v>West</v>
      </c>
      <c r="L163" t="str">
        <f t="shared" si="17"/>
        <v>Clothing</v>
      </c>
      <c r="M163" t="str">
        <f t="shared" si="18"/>
        <v>Jacket</v>
      </c>
      <c r="N163" t="str">
        <f t="shared" si="19"/>
        <v>OK</v>
      </c>
      <c r="O163" t="str">
        <f t="shared" si="20"/>
        <v>New</v>
      </c>
      <c r="P163" t="str">
        <f t="shared" si="21"/>
        <v>Cash</v>
      </c>
      <c r="Q163">
        <f t="shared" si="22"/>
        <v>2198.85</v>
      </c>
      <c r="R163">
        <f t="shared" si="23"/>
        <v>164.99</v>
      </c>
    </row>
    <row r="164" spans="1:18">
      <c r="A164" t="s">
        <v>348</v>
      </c>
      <c r="B164" t="s">
        <v>89</v>
      </c>
      <c r="C164" t="s">
        <v>26</v>
      </c>
      <c r="D164" t="s">
        <v>27</v>
      </c>
      <c r="E164" t="s">
        <v>106</v>
      </c>
      <c r="F164" t="s">
        <v>15</v>
      </c>
      <c r="G164">
        <v>4</v>
      </c>
      <c r="H164">
        <v>8013.73</v>
      </c>
      <c r="I164">
        <v>807.16</v>
      </c>
      <c r="J164" t="s">
        <v>29</v>
      </c>
      <c r="K164" t="str">
        <f t="shared" si="16"/>
        <v>West</v>
      </c>
      <c r="L164" t="str">
        <f t="shared" si="17"/>
        <v>Clothing</v>
      </c>
      <c r="M164" t="str">
        <f t="shared" si="18"/>
        <v>Jacket</v>
      </c>
      <c r="N164" t="str">
        <f t="shared" si="19"/>
        <v>OK</v>
      </c>
      <c r="O164" t="str">
        <f t="shared" si="20"/>
        <v>New</v>
      </c>
      <c r="P164" t="str">
        <f t="shared" si="21"/>
        <v>Cash</v>
      </c>
      <c r="Q164">
        <f t="shared" si="22"/>
        <v>8013.73</v>
      </c>
      <c r="R164">
        <f t="shared" si="23"/>
        <v>807.16</v>
      </c>
    </row>
    <row r="165" spans="1:18">
      <c r="A165" t="s">
        <v>509</v>
      </c>
      <c r="B165" t="s">
        <v>510</v>
      </c>
      <c r="C165" t="s">
        <v>26</v>
      </c>
      <c r="D165" t="s">
        <v>27</v>
      </c>
      <c r="E165" t="s">
        <v>106</v>
      </c>
      <c r="F165" t="s">
        <v>15</v>
      </c>
      <c r="G165">
        <v>2</v>
      </c>
      <c r="H165">
        <v>4476.59</v>
      </c>
      <c r="I165">
        <v>854.19</v>
      </c>
      <c r="J165" t="s">
        <v>29</v>
      </c>
      <c r="K165" t="str">
        <f t="shared" si="16"/>
        <v>West</v>
      </c>
      <c r="L165" t="str">
        <f t="shared" si="17"/>
        <v>Clothing</v>
      </c>
      <c r="M165" t="str">
        <f t="shared" si="18"/>
        <v>Jacket</v>
      </c>
      <c r="N165" t="str">
        <f t="shared" si="19"/>
        <v>OK</v>
      </c>
      <c r="O165" t="str">
        <f t="shared" si="20"/>
        <v>New</v>
      </c>
      <c r="P165" t="str">
        <f t="shared" si="21"/>
        <v>Cash</v>
      </c>
      <c r="Q165">
        <f t="shared" si="22"/>
        <v>4476.59</v>
      </c>
      <c r="R165">
        <f t="shared" si="23"/>
        <v>854.19</v>
      </c>
    </row>
    <row r="166" spans="1:18">
      <c r="A166" t="s">
        <v>258</v>
      </c>
      <c r="B166" t="s">
        <v>240</v>
      </c>
      <c r="C166" t="s">
        <v>19</v>
      </c>
      <c r="D166" t="s">
        <v>259</v>
      </c>
      <c r="E166" t="s">
        <v>130</v>
      </c>
      <c r="F166" t="s">
        <v>15</v>
      </c>
      <c r="G166">
        <v>3</v>
      </c>
      <c r="H166">
        <v>5092.0600000000004</v>
      </c>
      <c r="I166">
        <v>451.15</v>
      </c>
      <c r="J166" t="s">
        <v>16</v>
      </c>
      <c r="K166" t="str">
        <f t="shared" si="16"/>
        <v>South</v>
      </c>
      <c r="L166" t="str">
        <f t="shared" si="17"/>
        <v>Clothing</v>
      </c>
      <c r="M166" t="str">
        <f t="shared" si="18"/>
        <v>Jeans</v>
      </c>
      <c r="N166" t="str">
        <f t="shared" si="19"/>
        <v>OK</v>
      </c>
      <c r="O166" t="str">
        <f t="shared" si="20"/>
        <v>New</v>
      </c>
      <c r="P166" t="str">
        <f t="shared" si="21"/>
        <v>Net Banking</v>
      </c>
      <c r="Q166">
        <f t="shared" si="22"/>
        <v>5092.0600000000004</v>
      </c>
      <c r="R166">
        <f t="shared" si="23"/>
        <v>451.15</v>
      </c>
    </row>
    <row r="167" spans="1:18">
      <c r="A167" t="s">
        <v>218</v>
      </c>
      <c r="B167" t="s">
        <v>219</v>
      </c>
      <c r="C167" t="s">
        <v>32</v>
      </c>
      <c r="D167" t="s">
        <v>27</v>
      </c>
      <c r="E167" t="s">
        <v>130</v>
      </c>
      <c r="F167" t="s">
        <v>22</v>
      </c>
      <c r="G167">
        <v>4</v>
      </c>
      <c r="H167">
        <v>6186.63</v>
      </c>
      <c r="I167">
        <v>997.58</v>
      </c>
      <c r="J167" t="s">
        <v>16</v>
      </c>
      <c r="K167" t="str">
        <f t="shared" si="16"/>
        <v>East</v>
      </c>
      <c r="L167" t="str">
        <f t="shared" si="17"/>
        <v>Clothing</v>
      </c>
      <c r="M167" t="str">
        <f t="shared" si="18"/>
        <v>Jeans</v>
      </c>
      <c r="N167" t="str">
        <f t="shared" si="19"/>
        <v>OK</v>
      </c>
      <c r="O167" t="str">
        <f t="shared" si="20"/>
        <v>Existing</v>
      </c>
      <c r="P167" t="str">
        <f t="shared" si="21"/>
        <v>Net Banking</v>
      </c>
      <c r="Q167">
        <f t="shared" si="22"/>
        <v>6186.63</v>
      </c>
      <c r="R167">
        <f t="shared" si="23"/>
        <v>997.58</v>
      </c>
    </row>
    <row r="168" spans="1:18">
      <c r="A168" t="s">
        <v>249</v>
      </c>
      <c r="B168" t="s">
        <v>184</v>
      </c>
      <c r="C168" t="s">
        <v>32</v>
      </c>
      <c r="D168" t="s">
        <v>27</v>
      </c>
      <c r="E168" t="s">
        <v>130</v>
      </c>
      <c r="F168" t="s">
        <v>22</v>
      </c>
      <c r="G168">
        <v>5</v>
      </c>
      <c r="H168">
        <v>7678.65</v>
      </c>
      <c r="I168">
        <v>2045.06</v>
      </c>
      <c r="J168" t="s">
        <v>29</v>
      </c>
      <c r="K168" t="str">
        <f t="shared" si="16"/>
        <v>East</v>
      </c>
      <c r="L168" t="str">
        <f t="shared" si="17"/>
        <v>Clothing</v>
      </c>
      <c r="M168" t="str">
        <f t="shared" si="18"/>
        <v>Jeans</v>
      </c>
      <c r="N168" t="str">
        <f t="shared" si="19"/>
        <v>OK</v>
      </c>
      <c r="O168" t="str">
        <f t="shared" si="20"/>
        <v>Existing</v>
      </c>
      <c r="P168" t="str">
        <f t="shared" si="21"/>
        <v>Cash</v>
      </c>
      <c r="Q168">
        <f t="shared" si="22"/>
        <v>7678.65</v>
      </c>
      <c r="R168">
        <f t="shared" si="23"/>
        <v>2045.06</v>
      </c>
    </row>
    <row r="169" spans="1:18">
      <c r="A169" t="s">
        <v>294</v>
      </c>
      <c r="B169" t="s">
        <v>206</v>
      </c>
      <c r="C169" t="s">
        <v>32</v>
      </c>
      <c r="D169" t="s">
        <v>27</v>
      </c>
      <c r="E169" t="s">
        <v>130</v>
      </c>
      <c r="F169" t="s">
        <v>22</v>
      </c>
      <c r="G169">
        <v>4</v>
      </c>
      <c r="H169">
        <v>6871.16</v>
      </c>
      <c r="I169">
        <v>1233.94</v>
      </c>
      <c r="J169" t="s">
        <v>34</v>
      </c>
      <c r="K169" t="str">
        <f t="shared" si="16"/>
        <v>East</v>
      </c>
      <c r="L169" t="str">
        <f t="shared" si="17"/>
        <v>Clothing</v>
      </c>
      <c r="M169" t="str">
        <f t="shared" si="18"/>
        <v>Jeans</v>
      </c>
      <c r="N169" t="str">
        <f t="shared" si="19"/>
        <v>OK</v>
      </c>
      <c r="O169" t="str">
        <f t="shared" si="20"/>
        <v>Existing</v>
      </c>
      <c r="P169" t="str">
        <f t="shared" si="21"/>
        <v>Upi</v>
      </c>
      <c r="Q169">
        <f t="shared" si="22"/>
        <v>6871.16</v>
      </c>
      <c r="R169">
        <f t="shared" si="23"/>
        <v>1233.94</v>
      </c>
    </row>
    <row r="170" spans="1:18">
      <c r="A170" t="s">
        <v>436</v>
      </c>
      <c r="B170" t="s">
        <v>36</v>
      </c>
      <c r="C170" t="s">
        <v>32</v>
      </c>
      <c r="D170" t="s">
        <v>27</v>
      </c>
      <c r="E170" t="s">
        <v>130</v>
      </c>
      <c r="F170" t="s">
        <v>22</v>
      </c>
      <c r="G170">
        <v>2</v>
      </c>
      <c r="H170">
        <v>3065.89</v>
      </c>
      <c r="I170">
        <v>72.19</v>
      </c>
      <c r="J170" t="s">
        <v>29</v>
      </c>
      <c r="K170" t="str">
        <f t="shared" si="16"/>
        <v>East</v>
      </c>
      <c r="L170" t="str">
        <f t="shared" si="17"/>
        <v>Clothing</v>
      </c>
      <c r="M170" t="str">
        <f t="shared" si="18"/>
        <v>Jeans</v>
      </c>
      <c r="N170" t="str">
        <f t="shared" si="19"/>
        <v>OK</v>
      </c>
      <c r="O170" t="str">
        <f t="shared" si="20"/>
        <v>Existing</v>
      </c>
      <c r="P170" t="str">
        <f t="shared" si="21"/>
        <v>Cash</v>
      </c>
      <c r="Q170">
        <f t="shared" si="22"/>
        <v>3065.89</v>
      </c>
      <c r="R170">
        <f t="shared" si="23"/>
        <v>72.19</v>
      </c>
    </row>
    <row r="171" spans="1:18">
      <c r="A171" t="s">
        <v>161</v>
      </c>
      <c r="B171" t="s">
        <v>162</v>
      </c>
      <c r="C171" t="s">
        <v>12</v>
      </c>
      <c r="D171" t="s">
        <v>27</v>
      </c>
      <c r="E171" t="s">
        <v>130</v>
      </c>
      <c r="F171" t="s">
        <v>22</v>
      </c>
      <c r="G171">
        <v>4</v>
      </c>
      <c r="H171">
        <v>6082.91</v>
      </c>
      <c r="I171">
        <v>-307.27</v>
      </c>
      <c r="K171" t="str">
        <f t="shared" si="16"/>
        <v>North</v>
      </c>
      <c r="L171" t="str">
        <f t="shared" si="17"/>
        <v>Clothing</v>
      </c>
      <c r="M171" t="str">
        <f t="shared" si="18"/>
        <v>Jeans</v>
      </c>
      <c r="N171" t="str">
        <f t="shared" si="19"/>
        <v>Review</v>
      </c>
      <c r="O171" t="str">
        <f t="shared" si="20"/>
        <v>Existing</v>
      </c>
      <c r="P171" t="str">
        <f t="shared" si="21"/>
        <v>Review</v>
      </c>
      <c r="Q171">
        <f t="shared" si="22"/>
        <v>6082.91</v>
      </c>
      <c r="R171">
        <f t="shared" si="23"/>
        <v>-307.27</v>
      </c>
    </row>
    <row r="172" spans="1:18">
      <c r="A172" t="s">
        <v>201</v>
      </c>
      <c r="B172" t="s">
        <v>202</v>
      </c>
      <c r="C172" t="s">
        <v>12</v>
      </c>
      <c r="D172" t="s">
        <v>27</v>
      </c>
      <c r="E172" t="s">
        <v>130</v>
      </c>
      <c r="F172" t="s">
        <v>15</v>
      </c>
      <c r="G172">
        <v>5</v>
      </c>
      <c r="H172">
        <v>8784.0499999999993</v>
      </c>
      <c r="I172">
        <v>262.97000000000003</v>
      </c>
      <c r="J172" t="s">
        <v>23</v>
      </c>
      <c r="K172" t="str">
        <f t="shared" si="16"/>
        <v>North</v>
      </c>
      <c r="L172" t="str">
        <f t="shared" si="17"/>
        <v>Clothing</v>
      </c>
      <c r="M172" t="str">
        <f t="shared" si="18"/>
        <v>Jeans</v>
      </c>
      <c r="N172" t="str">
        <f t="shared" si="19"/>
        <v>OK</v>
      </c>
      <c r="O172" t="str">
        <f t="shared" si="20"/>
        <v>New</v>
      </c>
      <c r="P172" t="str">
        <f t="shared" si="21"/>
        <v>Card</v>
      </c>
      <c r="Q172">
        <f t="shared" si="22"/>
        <v>8784.0499999999993</v>
      </c>
      <c r="R172">
        <f t="shared" si="23"/>
        <v>262.97000000000003</v>
      </c>
    </row>
    <row r="173" spans="1:18">
      <c r="A173" t="s">
        <v>273</v>
      </c>
      <c r="B173" t="s">
        <v>274</v>
      </c>
      <c r="C173" t="s">
        <v>12</v>
      </c>
      <c r="D173" t="s">
        <v>27</v>
      </c>
      <c r="E173" t="s">
        <v>130</v>
      </c>
      <c r="F173" t="s">
        <v>15</v>
      </c>
      <c r="G173">
        <v>2</v>
      </c>
      <c r="H173">
        <v>3499.65</v>
      </c>
      <c r="I173">
        <v>915.66</v>
      </c>
      <c r="J173" t="s">
        <v>34</v>
      </c>
      <c r="K173" t="str">
        <f t="shared" si="16"/>
        <v>North</v>
      </c>
      <c r="L173" t="str">
        <f t="shared" si="17"/>
        <v>Clothing</v>
      </c>
      <c r="M173" t="str">
        <f t="shared" si="18"/>
        <v>Jeans</v>
      </c>
      <c r="N173" t="str">
        <f t="shared" si="19"/>
        <v>OK</v>
      </c>
      <c r="O173" t="str">
        <f t="shared" si="20"/>
        <v>New</v>
      </c>
      <c r="P173" t="str">
        <f t="shared" si="21"/>
        <v>Upi</v>
      </c>
      <c r="Q173">
        <f t="shared" si="22"/>
        <v>3499.65</v>
      </c>
      <c r="R173">
        <f t="shared" si="23"/>
        <v>915.66</v>
      </c>
    </row>
    <row r="174" spans="1:18">
      <c r="A174" t="s">
        <v>301</v>
      </c>
      <c r="B174" t="s">
        <v>302</v>
      </c>
      <c r="C174" t="s">
        <v>12</v>
      </c>
      <c r="D174" t="s">
        <v>27</v>
      </c>
      <c r="E174" t="s">
        <v>130</v>
      </c>
      <c r="F174" t="s">
        <v>15</v>
      </c>
      <c r="G174">
        <v>3</v>
      </c>
      <c r="H174">
        <v>5065.76</v>
      </c>
      <c r="I174">
        <v>629.84</v>
      </c>
      <c r="J174" t="s">
        <v>23</v>
      </c>
      <c r="K174" t="str">
        <f t="shared" si="16"/>
        <v>North</v>
      </c>
      <c r="L174" t="str">
        <f t="shared" si="17"/>
        <v>Clothing</v>
      </c>
      <c r="M174" t="str">
        <f t="shared" si="18"/>
        <v>Jeans</v>
      </c>
      <c r="N174" t="str">
        <f t="shared" si="19"/>
        <v>OK</v>
      </c>
      <c r="O174" t="str">
        <f t="shared" si="20"/>
        <v>New</v>
      </c>
      <c r="P174" t="str">
        <f t="shared" si="21"/>
        <v>Card</v>
      </c>
      <c r="Q174">
        <f t="shared" si="22"/>
        <v>5065.76</v>
      </c>
      <c r="R174">
        <f t="shared" si="23"/>
        <v>629.84</v>
      </c>
    </row>
    <row r="175" spans="1:18">
      <c r="A175" t="s">
        <v>128</v>
      </c>
      <c r="B175" t="s">
        <v>129</v>
      </c>
      <c r="C175" t="s">
        <v>19</v>
      </c>
      <c r="D175" t="s">
        <v>27</v>
      </c>
      <c r="E175" t="s">
        <v>130</v>
      </c>
      <c r="F175" t="s">
        <v>22</v>
      </c>
      <c r="G175">
        <v>5</v>
      </c>
      <c r="H175">
        <v>7403.66</v>
      </c>
      <c r="I175">
        <v>528.33000000000004</v>
      </c>
      <c r="J175" t="s">
        <v>16</v>
      </c>
      <c r="K175" t="str">
        <f t="shared" si="16"/>
        <v>South</v>
      </c>
      <c r="L175" t="str">
        <f t="shared" si="17"/>
        <v>Clothing</v>
      </c>
      <c r="M175" t="str">
        <f t="shared" si="18"/>
        <v>Jeans</v>
      </c>
      <c r="N175" t="str">
        <f t="shared" si="19"/>
        <v>OK</v>
      </c>
      <c r="O175" t="str">
        <f t="shared" si="20"/>
        <v>Existing</v>
      </c>
      <c r="P175" t="str">
        <f t="shared" si="21"/>
        <v>Net Banking</v>
      </c>
      <c r="Q175">
        <f t="shared" si="22"/>
        <v>7403.66</v>
      </c>
      <c r="R175">
        <f t="shared" si="23"/>
        <v>528.33000000000004</v>
      </c>
    </row>
    <row r="176" spans="1:18">
      <c r="A176" t="s">
        <v>245</v>
      </c>
      <c r="B176" t="s">
        <v>116</v>
      </c>
      <c r="C176" t="s">
        <v>19</v>
      </c>
      <c r="D176" t="s">
        <v>27</v>
      </c>
      <c r="E176" t="s">
        <v>130</v>
      </c>
      <c r="F176" t="s">
        <v>15</v>
      </c>
      <c r="G176">
        <v>3</v>
      </c>
      <c r="H176">
        <v>4733.46</v>
      </c>
      <c r="I176">
        <v>37.450000000000003</v>
      </c>
      <c r="J176" t="s">
        <v>23</v>
      </c>
      <c r="K176" t="str">
        <f t="shared" si="16"/>
        <v>South</v>
      </c>
      <c r="L176" t="str">
        <f t="shared" si="17"/>
        <v>Clothing</v>
      </c>
      <c r="M176" t="str">
        <f t="shared" si="18"/>
        <v>Jeans</v>
      </c>
      <c r="N176" t="str">
        <f t="shared" si="19"/>
        <v>OK</v>
      </c>
      <c r="O176" t="str">
        <f t="shared" si="20"/>
        <v>New</v>
      </c>
      <c r="P176" t="str">
        <f t="shared" si="21"/>
        <v>Card</v>
      </c>
      <c r="Q176">
        <f t="shared" si="22"/>
        <v>4733.46</v>
      </c>
      <c r="R176">
        <f t="shared" si="23"/>
        <v>37.450000000000003</v>
      </c>
    </row>
    <row r="177" spans="1:18">
      <c r="A177" t="s">
        <v>339</v>
      </c>
      <c r="B177" t="s">
        <v>317</v>
      </c>
      <c r="C177" t="s">
        <v>19</v>
      </c>
      <c r="D177" t="s">
        <v>27</v>
      </c>
      <c r="E177" t="s">
        <v>130</v>
      </c>
      <c r="F177" t="s">
        <v>15</v>
      </c>
      <c r="G177">
        <v>2</v>
      </c>
      <c r="H177">
        <v>3500.54</v>
      </c>
      <c r="I177">
        <v>489.43</v>
      </c>
      <c r="J177" t="s">
        <v>29</v>
      </c>
      <c r="K177" t="str">
        <f t="shared" si="16"/>
        <v>South</v>
      </c>
      <c r="L177" t="str">
        <f t="shared" si="17"/>
        <v>Clothing</v>
      </c>
      <c r="M177" t="str">
        <f t="shared" si="18"/>
        <v>Jeans</v>
      </c>
      <c r="N177" t="str">
        <f t="shared" si="19"/>
        <v>OK</v>
      </c>
      <c r="O177" t="str">
        <f t="shared" si="20"/>
        <v>New</v>
      </c>
      <c r="P177" t="str">
        <f t="shared" si="21"/>
        <v>Cash</v>
      </c>
      <c r="Q177">
        <f t="shared" si="22"/>
        <v>3500.54</v>
      </c>
      <c r="R177">
        <f t="shared" si="23"/>
        <v>489.43</v>
      </c>
    </row>
    <row r="178" spans="1:18">
      <c r="A178" t="s">
        <v>231</v>
      </c>
      <c r="B178" t="s">
        <v>232</v>
      </c>
      <c r="C178" t="s">
        <v>26</v>
      </c>
      <c r="D178" t="s">
        <v>27</v>
      </c>
      <c r="E178" t="s">
        <v>130</v>
      </c>
      <c r="F178" t="s">
        <v>15</v>
      </c>
      <c r="G178">
        <v>5</v>
      </c>
      <c r="H178">
        <v>7627.48</v>
      </c>
      <c r="I178">
        <v>-603.15</v>
      </c>
      <c r="J178" t="s">
        <v>16</v>
      </c>
      <c r="K178" t="str">
        <f t="shared" si="16"/>
        <v>West</v>
      </c>
      <c r="L178" t="str">
        <f t="shared" si="17"/>
        <v>Clothing</v>
      </c>
      <c r="M178" t="str">
        <f t="shared" si="18"/>
        <v>Jeans</v>
      </c>
      <c r="N178" t="str">
        <f t="shared" si="19"/>
        <v>OK</v>
      </c>
      <c r="O178" t="str">
        <f t="shared" si="20"/>
        <v>New</v>
      </c>
      <c r="P178" t="str">
        <f t="shared" si="21"/>
        <v>Net Banking</v>
      </c>
      <c r="Q178">
        <f t="shared" si="22"/>
        <v>7627.48</v>
      </c>
      <c r="R178">
        <f t="shared" si="23"/>
        <v>-603.15</v>
      </c>
    </row>
    <row r="179" spans="1:18">
      <c r="A179" t="s">
        <v>461</v>
      </c>
      <c r="B179" t="s">
        <v>462</v>
      </c>
      <c r="C179" t="s">
        <v>26</v>
      </c>
      <c r="D179" t="s">
        <v>27</v>
      </c>
      <c r="E179" t="s">
        <v>130</v>
      </c>
      <c r="F179" t="s">
        <v>15</v>
      </c>
      <c r="G179">
        <v>1</v>
      </c>
      <c r="H179">
        <v>1613.17</v>
      </c>
      <c r="I179">
        <v>-94.06</v>
      </c>
      <c r="J179" t="s">
        <v>29</v>
      </c>
      <c r="K179" t="str">
        <f t="shared" si="16"/>
        <v>West</v>
      </c>
      <c r="L179" t="str">
        <f t="shared" si="17"/>
        <v>Clothing</v>
      </c>
      <c r="M179" t="str">
        <f t="shared" si="18"/>
        <v>Jeans</v>
      </c>
      <c r="N179" t="str">
        <f t="shared" si="19"/>
        <v>OK</v>
      </c>
      <c r="O179" t="str">
        <f t="shared" si="20"/>
        <v>New</v>
      </c>
      <c r="P179" t="str">
        <f t="shared" si="21"/>
        <v>Cash</v>
      </c>
      <c r="Q179">
        <f t="shared" si="22"/>
        <v>1613.17</v>
      </c>
      <c r="R179">
        <f t="shared" si="23"/>
        <v>-94.06</v>
      </c>
    </row>
    <row r="180" spans="1:18">
      <c r="A180" t="s">
        <v>486</v>
      </c>
      <c r="B180" t="s">
        <v>387</v>
      </c>
      <c r="C180" t="s">
        <v>26</v>
      </c>
      <c r="D180" t="s">
        <v>27</v>
      </c>
      <c r="E180" t="s">
        <v>130</v>
      </c>
      <c r="F180" t="s">
        <v>15</v>
      </c>
      <c r="G180">
        <v>1</v>
      </c>
      <c r="H180">
        <v>1507.78</v>
      </c>
      <c r="I180">
        <v>-17.48</v>
      </c>
      <c r="J180" t="s">
        <v>23</v>
      </c>
      <c r="K180" t="str">
        <f t="shared" si="16"/>
        <v>West</v>
      </c>
      <c r="L180" t="str">
        <f t="shared" si="17"/>
        <v>Clothing</v>
      </c>
      <c r="M180" t="str">
        <f t="shared" si="18"/>
        <v>Jeans</v>
      </c>
      <c r="N180" t="str">
        <f t="shared" si="19"/>
        <v>OK</v>
      </c>
      <c r="O180" t="str">
        <f t="shared" si="20"/>
        <v>New</v>
      </c>
      <c r="P180" t="str">
        <f t="shared" si="21"/>
        <v>Card</v>
      </c>
      <c r="Q180">
        <f t="shared" si="22"/>
        <v>1507.78</v>
      </c>
      <c r="R180">
        <f t="shared" si="23"/>
        <v>-17.48</v>
      </c>
    </row>
    <row r="181" spans="1:18">
      <c r="A181" t="s">
        <v>165</v>
      </c>
      <c r="B181" t="s">
        <v>166</v>
      </c>
      <c r="C181" t="s">
        <v>32</v>
      </c>
      <c r="D181" t="s">
        <v>20</v>
      </c>
      <c r="E181" t="s">
        <v>117</v>
      </c>
      <c r="F181" t="s">
        <v>22</v>
      </c>
      <c r="G181">
        <v>1</v>
      </c>
      <c r="H181">
        <v>1823.03</v>
      </c>
      <c r="I181">
        <v>-2.79</v>
      </c>
      <c r="J181" t="s">
        <v>23</v>
      </c>
      <c r="K181" t="str">
        <f t="shared" si="16"/>
        <v>East</v>
      </c>
      <c r="L181" t="str">
        <f t="shared" si="17"/>
        <v>Electronics</v>
      </c>
      <c r="M181" t="str">
        <f t="shared" si="18"/>
        <v>Keyboard</v>
      </c>
      <c r="N181" t="str">
        <f t="shared" si="19"/>
        <v>OK</v>
      </c>
      <c r="O181" t="str">
        <f t="shared" si="20"/>
        <v>Existing</v>
      </c>
      <c r="P181" t="str">
        <f t="shared" si="21"/>
        <v>Card</v>
      </c>
      <c r="Q181">
        <f t="shared" si="22"/>
        <v>1823.03</v>
      </c>
      <c r="R181">
        <f t="shared" si="23"/>
        <v>-2.79</v>
      </c>
    </row>
    <row r="182" spans="1:18">
      <c r="A182" t="s">
        <v>227</v>
      </c>
      <c r="B182" t="s">
        <v>228</v>
      </c>
      <c r="C182" t="s">
        <v>32</v>
      </c>
      <c r="D182" t="s">
        <v>20</v>
      </c>
      <c r="E182" t="s">
        <v>117</v>
      </c>
      <c r="F182" t="s">
        <v>22</v>
      </c>
      <c r="G182">
        <v>1</v>
      </c>
      <c r="H182">
        <v>1853.18</v>
      </c>
      <c r="I182">
        <v>-45.53</v>
      </c>
      <c r="J182" t="s">
        <v>16</v>
      </c>
      <c r="K182" t="str">
        <f t="shared" si="16"/>
        <v>East</v>
      </c>
      <c r="L182" t="str">
        <f t="shared" si="17"/>
        <v>Electronics</v>
      </c>
      <c r="M182" t="str">
        <f t="shared" si="18"/>
        <v>Keyboard</v>
      </c>
      <c r="N182" t="str">
        <f t="shared" si="19"/>
        <v>OK</v>
      </c>
      <c r="O182" t="str">
        <f t="shared" si="20"/>
        <v>Existing</v>
      </c>
      <c r="P182" t="str">
        <f t="shared" si="21"/>
        <v>Net Banking</v>
      </c>
      <c r="Q182">
        <f t="shared" si="22"/>
        <v>1853.18</v>
      </c>
      <c r="R182">
        <f t="shared" si="23"/>
        <v>-45.53</v>
      </c>
    </row>
    <row r="183" spans="1:18">
      <c r="A183" t="s">
        <v>250</v>
      </c>
      <c r="B183" t="s">
        <v>31</v>
      </c>
      <c r="C183" t="s">
        <v>32</v>
      </c>
      <c r="D183" t="s">
        <v>20</v>
      </c>
      <c r="E183" t="s">
        <v>117</v>
      </c>
      <c r="F183" t="s">
        <v>22</v>
      </c>
      <c r="G183">
        <v>4</v>
      </c>
      <c r="H183">
        <v>6633.58</v>
      </c>
      <c r="I183">
        <v>380.05</v>
      </c>
      <c r="J183" t="s">
        <v>34</v>
      </c>
      <c r="K183" t="str">
        <f t="shared" si="16"/>
        <v>East</v>
      </c>
      <c r="L183" t="str">
        <f t="shared" si="17"/>
        <v>Electronics</v>
      </c>
      <c r="M183" t="str">
        <f t="shared" si="18"/>
        <v>Keyboard</v>
      </c>
      <c r="N183" t="str">
        <f t="shared" si="19"/>
        <v>OK</v>
      </c>
      <c r="O183" t="str">
        <f t="shared" si="20"/>
        <v>Existing</v>
      </c>
      <c r="P183" t="str">
        <f t="shared" si="21"/>
        <v>Upi</v>
      </c>
      <c r="Q183">
        <f t="shared" si="22"/>
        <v>6633.58</v>
      </c>
      <c r="R183">
        <f t="shared" si="23"/>
        <v>380.05</v>
      </c>
    </row>
    <row r="184" spans="1:18">
      <c r="A184" t="s">
        <v>288</v>
      </c>
      <c r="B184" t="s">
        <v>289</v>
      </c>
      <c r="C184" t="s">
        <v>32</v>
      </c>
      <c r="D184" t="s">
        <v>20</v>
      </c>
      <c r="E184" t="s">
        <v>117</v>
      </c>
      <c r="F184" t="s">
        <v>22</v>
      </c>
      <c r="G184">
        <v>3</v>
      </c>
      <c r="H184">
        <v>5753.61</v>
      </c>
      <c r="I184">
        <v>365.6</v>
      </c>
      <c r="J184" t="s">
        <v>29</v>
      </c>
      <c r="K184" t="str">
        <f t="shared" si="16"/>
        <v>East</v>
      </c>
      <c r="L184" t="str">
        <f t="shared" si="17"/>
        <v>Electronics</v>
      </c>
      <c r="M184" t="str">
        <f t="shared" si="18"/>
        <v>Keyboard</v>
      </c>
      <c r="N184" t="str">
        <f t="shared" si="19"/>
        <v>OK</v>
      </c>
      <c r="O184" t="str">
        <f t="shared" si="20"/>
        <v>Existing</v>
      </c>
      <c r="P184" t="str">
        <f t="shared" si="21"/>
        <v>Cash</v>
      </c>
      <c r="Q184">
        <f t="shared" si="22"/>
        <v>5753.61</v>
      </c>
      <c r="R184">
        <f t="shared" si="23"/>
        <v>365.6</v>
      </c>
    </row>
    <row r="185" spans="1:18">
      <c r="A185" t="s">
        <v>308</v>
      </c>
      <c r="B185" t="s">
        <v>309</v>
      </c>
      <c r="C185" t="s">
        <v>32</v>
      </c>
      <c r="D185" t="s">
        <v>20</v>
      </c>
      <c r="E185" t="s">
        <v>117</v>
      </c>
      <c r="F185" t="s">
        <v>22</v>
      </c>
      <c r="G185">
        <v>1</v>
      </c>
      <c r="H185">
        <v>1777.04</v>
      </c>
      <c r="I185">
        <v>151.96</v>
      </c>
      <c r="J185" t="s">
        <v>16</v>
      </c>
      <c r="K185" t="str">
        <f t="shared" si="16"/>
        <v>East</v>
      </c>
      <c r="L185" t="str">
        <f t="shared" si="17"/>
        <v>Electronics</v>
      </c>
      <c r="M185" t="str">
        <f t="shared" si="18"/>
        <v>Keyboard</v>
      </c>
      <c r="N185" t="str">
        <f t="shared" si="19"/>
        <v>OK</v>
      </c>
      <c r="O185" t="str">
        <f t="shared" si="20"/>
        <v>Existing</v>
      </c>
      <c r="P185" t="str">
        <f t="shared" si="21"/>
        <v>Net Banking</v>
      </c>
      <c r="Q185">
        <f t="shared" si="22"/>
        <v>1777.04</v>
      </c>
      <c r="R185">
        <f t="shared" si="23"/>
        <v>151.96</v>
      </c>
    </row>
    <row r="186" spans="1:18">
      <c r="A186" t="s">
        <v>413</v>
      </c>
      <c r="B186" t="s">
        <v>414</v>
      </c>
      <c r="C186" t="s">
        <v>32</v>
      </c>
      <c r="D186" t="s">
        <v>20</v>
      </c>
      <c r="E186" t="s">
        <v>117</v>
      </c>
      <c r="F186" t="s">
        <v>15</v>
      </c>
      <c r="G186">
        <v>2</v>
      </c>
      <c r="H186">
        <v>3875.37</v>
      </c>
      <c r="I186">
        <v>704.94</v>
      </c>
      <c r="J186" t="s">
        <v>16</v>
      </c>
      <c r="K186" t="str">
        <f t="shared" si="16"/>
        <v>East</v>
      </c>
      <c r="L186" t="str">
        <f t="shared" si="17"/>
        <v>Electronics</v>
      </c>
      <c r="M186" t="str">
        <f t="shared" si="18"/>
        <v>Keyboard</v>
      </c>
      <c r="N186" t="str">
        <f t="shared" si="19"/>
        <v>OK</v>
      </c>
      <c r="O186" t="str">
        <f t="shared" si="20"/>
        <v>New</v>
      </c>
      <c r="P186" t="str">
        <f t="shared" si="21"/>
        <v>Net Banking</v>
      </c>
      <c r="Q186">
        <f t="shared" si="22"/>
        <v>3875.37</v>
      </c>
      <c r="R186">
        <f t="shared" si="23"/>
        <v>704.94</v>
      </c>
    </row>
    <row r="187" spans="1:18">
      <c r="A187" t="s">
        <v>292</v>
      </c>
      <c r="B187" t="s">
        <v>293</v>
      </c>
      <c r="C187" t="s">
        <v>12</v>
      </c>
      <c r="D187" t="s">
        <v>20</v>
      </c>
      <c r="E187" t="s">
        <v>117</v>
      </c>
      <c r="F187" t="s">
        <v>22</v>
      </c>
      <c r="G187">
        <v>1</v>
      </c>
      <c r="H187">
        <v>1888.05</v>
      </c>
      <c r="I187">
        <v>102.24</v>
      </c>
      <c r="J187" t="s">
        <v>34</v>
      </c>
      <c r="K187" t="str">
        <f t="shared" si="16"/>
        <v>North</v>
      </c>
      <c r="L187" t="str">
        <f t="shared" si="17"/>
        <v>Electronics</v>
      </c>
      <c r="M187" t="str">
        <f t="shared" si="18"/>
        <v>Keyboard</v>
      </c>
      <c r="N187" t="str">
        <f t="shared" si="19"/>
        <v>OK</v>
      </c>
      <c r="O187" t="str">
        <f t="shared" si="20"/>
        <v>Existing</v>
      </c>
      <c r="P187" t="str">
        <f t="shared" si="21"/>
        <v>Upi</v>
      </c>
      <c r="Q187">
        <f t="shared" si="22"/>
        <v>1888.05</v>
      </c>
      <c r="R187">
        <f t="shared" si="23"/>
        <v>102.24</v>
      </c>
    </row>
    <row r="188" spans="1:18">
      <c r="A188" t="s">
        <v>312</v>
      </c>
      <c r="B188" t="s">
        <v>190</v>
      </c>
      <c r="C188" t="s">
        <v>12</v>
      </c>
      <c r="D188" t="s">
        <v>20</v>
      </c>
      <c r="E188" t="s">
        <v>117</v>
      </c>
      <c r="F188" t="s">
        <v>22</v>
      </c>
      <c r="G188">
        <v>1</v>
      </c>
      <c r="H188">
        <v>1707.59</v>
      </c>
      <c r="I188">
        <v>225.39</v>
      </c>
      <c r="J188" t="s">
        <v>29</v>
      </c>
      <c r="K188" t="str">
        <f t="shared" si="16"/>
        <v>North</v>
      </c>
      <c r="L188" t="str">
        <f t="shared" si="17"/>
        <v>Electronics</v>
      </c>
      <c r="M188" t="str">
        <f t="shared" si="18"/>
        <v>Keyboard</v>
      </c>
      <c r="N188" t="str">
        <f t="shared" si="19"/>
        <v>OK</v>
      </c>
      <c r="O188" t="str">
        <f t="shared" si="20"/>
        <v>Existing</v>
      </c>
      <c r="P188" t="str">
        <f t="shared" si="21"/>
        <v>Cash</v>
      </c>
      <c r="Q188">
        <f t="shared" si="22"/>
        <v>1707.59</v>
      </c>
      <c r="R188">
        <f t="shared" si="23"/>
        <v>225.39</v>
      </c>
    </row>
    <row r="189" spans="1:18">
      <c r="A189" t="s">
        <v>440</v>
      </c>
      <c r="B189" t="s">
        <v>441</v>
      </c>
      <c r="C189" t="s">
        <v>12</v>
      </c>
      <c r="D189" t="s">
        <v>20</v>
      </c>
      <c r="E189" t="s">
        <v>117</v>
      </c>
      <c r="F189" t="s">
        <v>15</v>
      </c>
      <c r="G189">
        <v>3</v>
      </c>
      <c r="H189">
        <v>5634.75</v>
      </c>
      <c r="I189">
        <v>-246.82</v>
      </c>
      <c r="J189" t="s">
        <v>16</v>
      </c>
      <c r="K189" t="str">
        <f t="shared" si="16"/>
        <v>North</v>
      </c>
      <c r="L189" t="str">
        <f t="shared" si="17"/>
        <v>Electronics</v>
      </c>
      <c r="M189" t="str">
        <f t="shared" si="18"/>
        <v>Keyboard</v>
      </c>
      <c r="N189" t="str">
        <f t="shared" si="19"/>
        <v>OK</v>
      </c>
      <c r="O189" t="str">
        <f t="shared" si="20"/>
        <v>New</v>
      </c>
      <c r="P189" t="str">
        <f t="shared" si="21"/>
        <v>Net Banking</v>
      </c>
      <c r="Q189">
        <f t="shared" si="22"/>
        <v>5634.75</v>
      </c>
      <c r="R189">
        <f t="shared" si="23"/>
        <v>-246.82</v>
      </c>
    </row>
    <row r="190" spans="1:18">
      <c r="A190" t="s">
        <v>444</v>
      </c>
      <c r="B190" t="s">
        <v>445</v>
      </c>
      <c r="C190" t="s">
        <v>12</v>
      </c>
      <c r="D190" t="s">
        <v>20</v>
      </c>
      <c r="E190" t="s">
        <v>117</v>
      </c>
      <c r="F190" t="s">
        <v>15</v>
      </c>
      <c r="G190">
        <v>4</v>
      </c>
      <c r="H190">
        <v>6748.29</v>
      </c>
      <c r="I190">
        <v>1279.75</v>
      </c>
      <c r="J190" t="s">
        <v>29</v>
      </c>
      <c r="K190" t="str">
        <f t="shared" si="16"/>
        <v>North</v>
      </c>
      <c r="L190" t="str">
        <f t="shared" si="17"/>
        <v>Electronics</v>
      </c>
      <c r="M190" t="str">
        <f t="shared" si="18"/>
        <v>Keyboard</v>
      </c>
      <c r="N190" t="str">
        <f t="shared" si="19"/>
        <v>OK</v>
      </c>
      <c r="O190" t="str">
        <f t="shared" si="20"/>
        <v>New</v>
      </c>
      <c r="P190" t="str">
        <f t="shared" si="21"/>
        <v>Cash</v>
      </c>
      <c r="Q190">
        <f t="shared" si="22"/>
        <v>6748.29</v>
      </c>
      <c r="R190">
        <f t="shared" si="23"/>
        <v>1279.75</v>
      </c>
    </row>
    <row r="191" spans="1:18">
      <c r="A191" t="s">
        <v>506</v>
      </c>
      <c r="B191" t="s">
        <v>289</v>
      </c>
      <c r="C191" t="s">
        <v>12</v>
      </c>
      <c r="D191" t="s">
        <v>20</v>
      </c>
      <c r="E191" t="s">
        <v>117</v>
      </c>
      <c r="F191" t="s">
        <v>15</v>
      </c>
      <c r="G191">
        <v>4</v>
      </c>
      <c r="H191">
        <v>7408.67</v>
      </c>
      <c r="I191">
        <v>290.85000000000002</v>
      </c>
      <c r="J191" t="s">
        <v>23</v>
      </c>
      <c r="K191" t="str">
        <f t="shared" si="16"/>
        <v>North</v>
      </c>
      <c r="L191" t="str">
        <f t="shared" si="17"/>
        <v>Electronics</v>
      </c>
      <c r="M191" t="str">
        <f t="shared" si="18"/>
        <v>Keyboard</v>
      </c>
      <c r="N191" t="str">
        <f t="shared" si="19"/>
        <v>OK</v>
      </c>
      <c r="O191" t="str">
        <f t="shared" si="20"/>
        <v>New</v>
      </c>
      <c r="P191" t="str">
        <f t="shared" si="21"/>
        <v>Card</v>
      </c>
      <c r="Q191">
        <f t="shared" si="22"/>
        <v>7408.67</v>
      </c>
      <c r="R191">
        <f t="shared" si="23"/>
        <v>290.85000000000002</v>
      </c>
    </row>
    <row r="192" spans="1:18">
      <c r="A192" t="s">
        <v>546</v>
      </c>
      <c r="B192" t="s">
        <v>547</v>
      </c>
      <c r="C192" t="s">
        <v>12</v>
      </c>
      <c r="D192" t="s">
        <v>20</v>
      </c>
      <c r="E192" t="s">
        <v>117</v>
      </c>
      <c r="F192" t="s">
        <v>15</v>
      </c>
      <c r="G192">
        <v>4</v>
      </c>
      <c r="H192">
        <v>6939.23</v>
      </c>
      <c r="I192">
        <v>194.96</v>
      </c>
      <c r="J192" t="s">
        <v>29</v>
      </c>
      <c r="K192" t="str">
        <f t="shared" si="16"/>
        <v>North</v>
      </c>
      <c r="L192" t="str">
        <f t="shared" si="17"/>
        <v>Electronics</v>
      </c>
      <c r="M192" t="str">
        <f t="shared" si="18"/>
        <v>Keyboard</v>
      </c>
      <c r="N192" t="str">
        <f t="shared" si="19"/>
        <v>OK</v>
      </c>
      <c r="O192" t="str">
        <f t="shared" si="20"/>
        <v>New</v>
      </c>
      <c r="P192" t="str">
        <f t="shared" si="21"/>
        <v>Cash</v>
      </c>
      <c r="Q192">
        <f t="shared" si="22"/>
        <v>6939.23</v>
      </c>
      <c r="R192">
        <f t="shared" si="23"/>
        <v>194.96</v>
      </c>
    </row>
    <row r="193" spans="1:18">
      <c r="A193" t="s">
        <v>115</v>
      </c>
      <c r="B193" t="s">
        <v>116</v>
      </c>
      <c r="C193" t="s">
        <v>19</v>
      </c>
      <c r="D193" t="s">
        <v>20</v>
      </c>
      <c r="E193" t="s">
        <v>117</v>
      </c>
      <c r="F193" t="s">
        <v>22</v>
      </c>
      <c r="G193">
        <v>1</v>
      </c>
      <c r="H193">
        <v>1684.57</v>
      </c>
      <c r="I193">
        <v>425.89</v>
      </c>
      <c r="J193" t="s">
        <v>23</v>
      </c>
      <c r="K193" t="str">
        <f t="shared" si="16"/>
        <v>South</v>
      </c>
      <c r="L193" t="str">
        <f t="shared" si="17"/>
        <v>Electronics</v>
      </c>
      <c r="M193" t="str">
        <f t="shared" si="18"/>
        <v>Keyboard</v>
      </c>
      <c r="N193" t="str">
        <f t="shared" si="19"/>
        <v>OK</v>
      </c>
      <c r="O193" t="str">
        <f t="shared" si="20"/>
        <v>Existing</v>
      </c>
      <c r="P193" t="str">
        <f t="shared" si="21"/>
        <v>Card</v>
      </c>
      <c r="Q193">
        <f t="shared" si="22"/>
        <v>1684.57</v>
      </c>
      <c r="R193">
        <f t="shared" si="23"/>
        <v>425.89</v>
      </c>
    </row>
    <row r="194" spans="1:18">
      <c r="A194" t="s">
        <v>306</v>
      </c>
      <c r="B194" t="s">
        <v>160</v>
      </c>
      <c r="C194" t="s">
        <v>19</v>
      </c>
      <c r="D194" t="s">
        <v>20</v>
      </c>
      <c r="E194" t="s">
        <v>117</v>
      </c>
      <c r="F194" t="s">
        <v>22</v>
      </c>
      <c r="G194">
        <v>5</v>
      </c>
      <c r="H194">
        <v>8198.61</v>
      </c>
      <c r="I194">
        <v>-52.53</v>
      </c>
      <c r="J194" t="s">
        <v>29</v>
      </c>
      <c r="K194" t="str">
        <f t="shared" si="16"/>
        <v>South</v>
      </c>
      <c r="L194" t="str">
        <f t="shared" si="17"/>
        <v>Electronics</v>
      </c>
      <c r="M194" t="str">
        <f t="shared" si="18"/>
        <v>Keyboard</v>
      </c>
      <c r="N194" t="str">
        <f t="shared" si="19"/>
        <v>OK</v>
      </c>
      <c r="O194" t="str">
        <f t="shared" si="20"/>
        <v>Existing</v>
      </c>
      <c r="P194" t="str">
        <f t="shared" si="21"/>
        <v>Cash</v>
      </c>
      <c r="Q194">
        <f t="shared" si="22"/>
        <v>8198.61</v>
      </c>
      <c r="R194">
        <f t="shared" si="23"/>
        <v>-52.53</v>
      </c>
    </row>
    <row r="195" spans="1:18">
      <c r="A195" t="s">
        <v>450</v>
      </c>
      <c r="B195" t="s">
        <v>214</v>
      </c>
      <c r="C195" t="s">
        <v>19</v>
      </c>
      <c r="D195" t="s">
        <v>20</v>
      </c>
      <c r="E195" t="s">
        <v>117</v>
      </c>
      <c r="F195" t="s">
        <v>15</v>
      </c>
      <c r="G195">
        <v>1</v>
      </c>
      <c r="H195">
        <v>1686.52</v>
      </c>
      <c r="I195">
        <v>-49.55</v>
      </c>
      <c r="J195" t="s">
        <v>29</v>
      </c>
      <c r="K195" t="str">
        <f t="shared" ref="K195:K258" si="24">PROPER(TRIM(C195))</f>
        <v>South</v>
      </c>
      <c r="L195" t="str">
        <f t="shared" ref="L195:L258" si="25">PROPER(TRIM(D195))</f>
        <v>Electronics</v>
      </c>
      <c r="M195" t="str">
        <f t="shared" ref="M195:M258" si="26">PROPER(TRIM(E195))</f>
        <v>Keyboard</v>
      </c>
      <c r="N195" t="str">
        <f t="shared" ref="N195:N258" si="27">IF(OR(H195="",I195="",J195="",F195=""),"Review","OK")</f>
        <v>OK</v>
      </c>
      <c r="O195" t="str">
        <f t="shared" ref="O195:O258" si="28">IF(TRIM(F195)="","Review",PROPER(TRIM(F195)))</f>
        <v>New</v>
      </c>
      <c r="P195" t="str">
        <f t="shared" ref="P195:P258" si="29">IF(TRIM(J195)="","Review",PROPER(TRIM(J195)))</f>
        <v>Cash</v>
      </c>
      <c r="Q195">
        <f t="shared" ref="Q195:Q258" si="30">IF(H195="","",H195)</f>
        <v>1686.52</v>
      </c>
      <c r="R195">
        <f t="shared" ref="R195:R258" si="31">IF(I195="","",I195)</f>
        <v>-49.55</v>
      </c>
    </row>
    <row r="196" spans="1:18">
      <c r="A196" t="s">
        <v>532</v>
      </c>
      <c r="B196" t="s">
        <v>194</v>
      </c>
      <c r="C196" t="s">
        <v>19</v>
      </c>
      <c r="D196" t="s">
        <v>20</v>
      </c>
      <c r="E196" t="s">
        <v>117</v>
      </c>
      <c r="F196" t="s">
        <v>22</v>
      </c>
      <c r="G196">
        <v>3</v>
      </c>
      <c r="H196">
        <v>5174.76</v>
      </c>
      <c r="I196">
        <v>880.67</v>
      </c>
      <c r="J196" t="s">
        <v>16</v>
      </c>
      <c r="K196" t="str">
        <f t="shared" si="24"/>
        <v>South</v>
      </c>
      <c r="L196" t="str">
        <f t="shared" si="25"/>
        <v>Electronics</v>
      </c>
      <c r="M196" t="str">
        <f t="shared" si="26"/>
        <v>Keyboard</v>
      </c>
      <c r="N196" t="str">
        <f t="shared" si="27"/>
        <v>OK</v>
      </c>
      <c r="O196" t="str">
        <f t="shared" si="28"/>
        <v>Existing</v>
      </c>
      <c r="P196" t="str">
        <f t="shared" si="29"/>
        <v>Net Banking</v>
      </c>
      <c r="Q196">
        <f t="shared" si="30"/>
        <v>5174.76</v>
      </c>
      <c r="R196">
        <f t="shared" si="31"/>
        <v>880.67</v>
      </c>
    </row>
    <row r="197" spans="1:18">
      <c r="A197" t="s">
        <v>159</v>
      </c>
      <c r="B197" t="s">
        <v>160</v>
      </c>
      <c r="C197" t="s">
        <v>26</v>
      </c>
      <c r="D197" t="s">
        <v>20</v>
      </c>
      <c r="E197" t="s">
        <v>117</v>
      </c>
      <c r="F197" t="s">
        <v>22</v>
      </c>
      <c r="G197">
        <v>2</v>
      </c>
      <c r="H197">
        <v>3276.2</v>
      </c>
      <c r="I197">
        <v>185.03</v>
      </c>
      <c r="J197" t="s">
        <v>29</v>
      </c>
      <c r="K197" t="str">
        <f t="shared" si="24"/>
        <v>West</v>
      </c>
      <c r="L197" t="str">
        <f t="shared" si="25"/>
        <v>Electronics</v>
      </c>
      <c r="M197" t="str">
        <f t="shared" si="26"/>
        <v>Keyboard</v>
      </c>
      <c r="N197" t="str">
        <f t="shared" si="27"/>
        <v>OK</v>
      </c>
      <c r="O197" t="str">
        <f t="shared" si="28"/>
        <v>Existing</v>
      </c>
      <c r="P197" t="str">
        <f t="shared" si="29"/>
        <v>Cash</v>
      </c>
      <c r="Q197">
        <f t="shared" si="30"/>
        <v>3276.2</v>
      </c>
      <c r="R197">
        <f t="shared" si="31"/>
        <v>185.03</v>
      </c>
    </row>
    <row r="198" spans="1:18">
      <c r="A198" t="s">
        <v>45</v>
      </c>
      <c r="B198" t="s">
        <v>46</v>
      </c>
      <c r="C198" t="s">
        <v>32</v>
      </c>
      <c r="D198" t="s">
        <v>20</v>
      </c>
      <c r="E198" t="s">
        <v>21</v>
      </c>
      <c r="F198" t="s">
        <v>15</v>
      </c>
      <c r="G198">
        <v>3</v>
      </c>
      <c r="H198">
        <v>152916.34</v>
      </c>
      <c r="I198">
        <v>-8589.6299999999992</v>
      </c>
      <c r="J198" t="s">
        <v>16</v>
      </c>
      <c r="K198" t="str">
        <f t="shared" si="24"/>
        <v>East</v>
      </c>
      <c r="L198" t="str">
        <f t="shared" si="25"/>
        <v>Electronics</v>
      </c>
      <c r="M198" t="str">
        <f t="shared" si="26"/>
        <v>Laptop</v>
      </c>
      <c r="N198" t="str">
        <f t="shared" si="27"/>
        <v>OK</v>
      </c>
      <c r="O198" t="str">
        <f t="shared" si="28"/>
        <v>New</v>
      </c>
      <c r="P198" t="str">
        <f t="shared" si="29"/>
        <v>Net Banking</v>
      </c>
      <c r="Q198">
        <f t="shared" si="30"/>
        <v>152916.34</v>
      </c>
      <c r="R198">
        <f t="shared" si="31"/>
        <v>-8589.6299999999992</v>
      </c>
    </row>
    <row r="199" spans="1:18">
      <c r="A199" t="s">
        <v>185</v>
      </c>
      <c r="B199" t="s">
        <v>186</v>
      </c>
      <c r="C199" t="s">
        <v>32</v>
      </c>
      <c r="D199" t="s">
        <v>20</v>
      </c>
      <c r="E199" t="s">
        <v>21</v>
      </c>
      <c r="F199" t="s">
        <v>22</v>
      </c>
      <c r="G199">
        <v>3</v>
      </c>
      <c r="H199">
        <v>147313.81</v>
      </c>
      <c r="I199">
        <v>24902.42</v>
      </c>
      <c r="J199" t="s">
        <v>29</v>
      </c>
      <c r="K199" t="str">
        <f t="shared" si="24"/>
        <v>East</v>
      </c>
      <c r="L199" t="str">
        <f t="shared" si="25"/>
        <v>Electronics</v>
      </c>
      <c r="M199" t="str">
        <f t="shared" si="26"/>
        <v>Laptop</v>
      </c>
      <c r="N199" t="str">
        <f t="shared" si="27"/>
        <v>OK</v>
      </c>
      <c r="O199" t="str">
        <f t="shared" si="28"/>
        <v>Existing</v>
      </c>
      <c r="P199" t="str">
        <f t="shared" si="29"/>
        <v>Cash</v>
      </c>
      <c r="Q199">
        <f t="shared" si="30"/>
        <v>147313.81</v>
      </c>
      <c r="R199">
        <f t="shared" si="31"/>
        <v>24902.42</v>
      </c>
    </row>
    <row r="200" spans="1:18">
      <c r="A200" t="s">
        <v>279</v>
      </c>
      <c r="B200" t="s">
        <v>81</v>
      </c>
      <c r="C200" t="s">
        <v>32</v>
      </c>
      <c r="D200" t="s">
        <v>20</v>
      </c>
      <c r="E200" t="s">
        <v>21</v>
      </c>
      <c r="F200" t="s">
        <v>15</v>
      </c>
      <c r="G200">
        <v>1</v>
      </c>
      <c r="H200">
        <v>48170.75</v>
      </c>
      <c r="I200">
        <v>2358.79</v>
      </c>
      <c r="J200" t="s">
        <v>23</v>
      </c>
      <c r="K200" t="str">
        <f t="shared" si="24"/>
        <v>East</v>
      </c>
      <c r="L200" t="str">
        <f t="shared" si="25"/>
        <v>Electronics</v>
      </c>
      <c r="M200" t="str">
        <f t="shared" si="26"/>
        <v>Laptop</v>
      </c>
      <c r="N200" t="str">
        <f t="shared" si="27"/>
        <v>OK</v>
      </c>
      <c r="O200" t="str">
        <f t="shared" si="28"/>
        <v>New</v>
      </c>
      <c r="P200" t="str">
        <f t="shared" si="29"/>
        <v>Card</v>
      </c>
      <c r="Q200">
        <f t="shared" si="30"/>
        <v>48170.75</v>
      </c>
      <c r="R200">
        <f t="shared" si="31"/>
        <v>2358.79</v>
      </c>
    </row>
    <row r="201" spans="1:18">
      <c r="A201" t="s">
        <v>284</v>
      </c>
      <c r="B201" t="s">
        <v>285</v>
      </c>
      <c r="C201" t="s">
        <v>32</v>
      </c>
      <c r="D201" t="s">
        <v>20</v>
      </c>
      <c r="E201" t="s">
        <v>21</v>
      </c>
      <c r="F201" t="s">
        <v>22</v>
      </c>
      <c r="G201">
        <v>3</v>
      </c>
      <c r="H201">
        <v>159378.88</v>
      </c>
      <c r="I201">
        <v>-8981.7000000000007</v>
      </c>
      <c r="J201" t="s">
        <v>29</v>
      </c>
      <c r="K201" t="str">
        <f t="shared" si="24"/>
        <v>East</v>
      </c>
      <c r="L201" t="str">
        <f t="shared" si="25"/>
        <v>Electronics</v>
      </c>
      <c r="M201" t="str">
        <f t="shared" si="26"/>
        <v>Laptop</v>
      </c>
      <c r="N201" t="str">
        <f t="shared" si="27"/>
        <v>OK</v>
      </c>
      <c r="O201" t="str">
        <f t="shared" si="28"/>
        <v>Existing</v>
      </c>
      <c r="P201" t="str">
        <f t="shared" si="29"/>
        <v>Cash</v>
      </c>
      <c r="Q201">
        <f t="shared" si="30"/>
        <v>159378.88</v>
      </c>
      <c r="R201">
        <f t="shared" si="31"/>
        <v>-8981.7000000000007</v>
      </c>
    </row>
    <row r="202" spans="1:18">
      <c r="A202" t="s">
        <v>349</v>
      </c>
      <c r="B202" t="s">
        <v>350</v>
      </c>
      <c r="C202" t="s">
        <v>32</v>
      </c>
      <c r="D202" t="s">
        <v>20</v>
      </c>
      <c r="E202" t="s">
        <v>21</v>
      </c>
      <c r="F202" t="s">
        <v>15</v>
      </c>
      <c r="G202">
        <v>3</v>
      </c>
      <c r="H202">
        <v>169441.77</v>
      </c>
      <c r="I202">
        <v>37633.599999999999</v>
      </c>
      <c r="J202" t="s">
        <v>23</v>
      </c>
      <c r="K202" t="str">
        <f t="shared" si="24"/>
        <v>East</v>
      </c>
      <c r="L202" t="str">
        <f t="shared" si="25"/>
        <v>Electronics</v>
      </c>
      <c r="M202" t="str">
        <f t="shared" si="26"/>
        <v>Laptop</v>
      </c>
      <c r="N202" t="str">
        <f t="shared" si="27"/>
        <v>OK</v>
      </c>
      <c r="O202" t="str">
        <f t="shared" si="28"/>
        <v>New</v>
      </c>
      <c r="P202" t="str">
        <f t="shared" si="29"/>
        <v>Card</v>
      </c>
      <c r="Q202">
        <f t="shared" si="30"/>
        <v>169441.77</v>
      </c>
      <c r="R202">
        <f t="shared" si="31"/>
        <v>37633.599999999999</v>
      </c>
    </row>
    <row r="203" spans="1:18">
      <c r="A203" t="s">
        <v>70</v>
      </c>
      <c r="B203" t="s">
        <v>71</v>
      </c>
      <c r="C203" t="s">
        <v>12</v>
      </c>
      <c r="D203" t="s">
        <v>20</v>
      </c>
      <c r="E203" t="s">
        <v>21</v>
      </c>
      <c r="F203" t="s">
        <v>15</v>
      </c>
      <c r="G203">
        <v>2</v>
      </c>
      <c r="H203">
        <v>95001.93</v>
      </c>
      <c r="I203">
        <v>-6525.81</v>
      </c>
      <c r="J203" t="s">
        <v>29</v>
      </c>
      <c r="K203" t="str">
        <f t="shared" si="24"/>
        <v>North</v>
      </c>
      <c r="L203" t="str">
        <f t="shared" si="25"/>
        <v>Electronics</v>
      </c>
      <c r="M203" t="str">
        <f t="shared" si="26"/>
        <v>Laptop</v>
      </c>
      <c r="N203" t="str">
        <f t="shared" si="27"/>
        <v>OK</v>
      </c>
      <c r="O203" t="str">
        <f t="shared" si="28"/>
        <v>New</v>
      </c>
      <c r="P203" t="str">
        <f t="shared" si="29"/>
        <v>Cash</v>
      </c>
      <c r="Q203">
        <f t="shared" si="30"/>
        <v>95001.93</v>
      </c>
      <c r="R203">
        <f t="shared" si="31"/>
        <v>-6525.81</v>
      </c>
    </row>
    <row r="204" spans="1:18">
      <c r="A204" t="s">
        <v>95</v>
      </c>
      <c r="B204" t="s">
        <v>96</v>
      </c>
      <c r="C204" t="s">
        <v>12</v>
      </c>
      <c r="D204" t="s">
        <v>20</v>
      </c>
      <c r="E204" t="s">
        <v>21</v>
      </c>
      <c r="F204" t="s">
        <v>15</v>
      </c>
      <c r="G204">
        <v>4</v>
      </c>
      <c r="H204">
        <v>213040.23</v>
      </c>
      <c r="I204">
        <v>26135.29</v>
      </c>
      <c r="J204" t="s">
        <v>29</v>
      </c>
      <c r="K204" t="str">
        <f t="shared" si="24"/>
        <v>North</v>
      </c>
      <c r="L204" t="str">
        <f t="shared" si="25"/>
        <v>Electronics</v>
      </c>
      <c r="M204" t="str">
        <f t="shared" si="26"/>
        <v>Laptop</v>
      </c>
      <c r="N204" t="str">
        <f t="shared" si="27"/>
        <v>OK</v>
      </c>
      <c r="O204" t="str">
        <f t="shared" si="28"/>
        <v>New</v>
      </c>
      <c r="P204" t="str">
        <f t="shared" si="29"/>
        <v>Cash</v>
      </c>
      <c r="Q204">
        <f t="shared" si="30"/>
        <v>213040.23</v>
      </c>
      <c r="R204">
        <f t="shared" si="31"/>
        <v>26135.29</v>
      </c>
    </row>
    <row r="205" spans="1:18">
      <c r="A205" t="s">
        <v>243</v>
      </c>
      <c r="B205" t="s">
        <v>244</v>
      </c>
      <c r="C205" t="s">
        <v>12</v>
      </c>
      <c r="D205" t="s">
        <v>20</v>
      </c>
      <c r="E205" t="s">
        <v>21</v>
      </c>
      <c r="F205" t="s">
        <v>22</v>
      </c>
      <c r="G205">
        <v>4</v>
      </c>
      <c r="H205">
        <v>194120.78</v>
      </c>
      <c r="I205">
        <v>5398.07</v>
      </c>
      <c r="J205" t="s">
        <v>34</v>
      </c>
      <c r="K205" t="str">
        <f t="shared" si="24"/>
        <v>North</v>
      </c>
      <c r="L205" t="str">
        <f t="shared" si="25"/>
        <v>Electronics</v>
      </c>
      <c r="M205" t="str">
        <f t="shared" si="26"/>
        <v>Laptop</v>
      </c>
      <c r="N205" t="str">
        <f t="shared" si="27"/>
        <v>OK</v>
      </c>
      <c r="O205" t="str">
        <f t="shared" si="28"/>
        <v>Existing</v>
      </c>
      <c r="P205" t="str">
        <f t="shared" si="29"/>
        <v>Upi</v>
      </c>
      <c r="Q205">
        <f t="shared" si="30"/>
        <v>194120.78</v>
      </c>
      <c r="R205">
        <f t="shared" si="31"/>
        <v>5398.07</v>
      </c>
    </row>
    <row r="206" spans="1:18">
      <c r="A206" t="s">
        <v>335</v>
      </c>
      <c r="B206" t="s">
        <v>336</v>
      </c>
      <c r="C206" t="s">
        <v>12</v>
      </c>
      <c r="D206" t="s">
        <v>20</v>
      </c>
      <c r="E206" t="s">
        <v>21</v>
      </c>
      <c r="F206" t="s">
        <v>22</v>
      </c>
      <c r="G206">
        <v>3</v>
      </c>
      <c r="H206">
        <v>166746.17000000001</v>
      </c>
      <c r="I206">
        <v>-7268.35</v>
      </c>
      <c r="J206" t="s">
        <v>23</v>
      </c>
      <c r="K206" t="str">
        <f t="shared" si="24"/>
        <v>North</v>
      </c>
      <c r="L206" t="str">
        <f t="shared" si="25"/>
        <v>Electronics</v>
      </c>
      <c r="M206" t="str">
        <f t="shared" si="26"/>
        <v>Laptop</v>
      </c>
      <c r="N206" t="str">
        <f t="shared" si="27"/>
        <v>OK</v>
      </c>
      <c r="O206" t="str">
        <f t="shared" si="28"/>
        <v>Existing</v>
      </c>
      <c r="P206" t="str">
        <f t="shared" si="29"/>
        <v>Card</v>
      </c>
      <c r="Q206">
        <f t="shared" si="30"/>
        <v>166746.17000000001</v>
      </c>
      <c r="R206">
        <f t="shared" si="31"/>
        <v>-7268.35</v>
      </c>
    </row>
    <row r="207" spans="1:18">
      <c r="A207" t="s">
        <v>470</v>
      </c>
      <c r="B207" t="s">
        <v>471</v>
      </c>
      <c r="C207" t="s">
        <v>12</v>
      </c>
      <c r="D207" t="s">
        <v>20</v>
      </c>
      <c r="E207" t="s">
        <v>21</v>
      </c>
      <c r="F207" t="s">
        <v>15</v>
      </c>
      <c r="G207">
        <v>5</v>
      </c>
      <c r="H207">
        <v>235745.97</v>
      </c>
      <c r="I207">
        <v>31873.46</v>
      </c>
      <c r="J207" t="s">
        <v>34</v>
      </c>
      <c r="K207" t="str">
        <f t="shared" si="24"/>
        <v>North</v>
      </c>
      <c r="L207" t="str">
        <f t="shared" si="25"/>
        <v>Electronics</v>
      </c>
      <c r="M207" t="str">
        <f t="shared" si="26"/>
        <v>Laptop</v>
      </c>
      <c r="N207" t="str">
        <f t="shared" si="27"/>
        <v>OK</v>
      </c>
      <c r="O207" t="str">
        <f t="shared" si="28"/>
        <v>New</v>
      </c>
      <c r="P207" t="str">
        <f t="shared" si="29"/>
        <v>Upi</v>
      </c>
      <c r="Q207">
        <f t="shared" si="30"/>
        <v>235745.97</v>
      </c>
      <c r="R207">
        <f t="shared" si="31"/>
        <v>31873.46</v>
      </c>
    </row>
    <row r="208" spans="1:18">
      <c r="A208" t="s">
        <v>17</v>
      </c>
      <c r="B208" t="s">
        <v>18</v>
      </c>
      <c r="C208" t="s">
        <v>19</v>
      </c>
      <c r="D208" t="s">
        <v>20</v>
      </c>
      <c r="E208" t="s">
        <v>21</v>
      </c>
      <c r="F208" t="s">
        <v>22</v>
      </c>
      <c r="G208">
        <v>1</v>
      </c>
      <c r="H208">
        <v>49073.83</v>
      </c>
      <c r="I208">
        <v>5001.99</v>
      </c>
      <c r="J208" t="s">
        <v>23</v>
      </c>
      <c r="K208" t="str">
        <f t="shared" si="24"/>
        <v>South</v>
      </c>
      <c r="L208" t="str">
        <f t="shared" si="25"/>
        <v>Electronics</v>
      </c>
      <c r="M208" t="str">
        <f t="shared" si="26"/>
        <v>Laptop</v>
      </c>
      <c r="N208" t="str">
        <f t="shared" si="27"/>
        <v>OK</v>
      </c>
      <c r="O208" t="str">
        <f t="shared" si="28"/>
        <v>Existing</v>
      </c>
      <c r="P208" t="str">
        <f t="shared" si="29"/>
        <v>Card</v>
      </c>
      <c r="Q208">
        <f t="shared" si="30"/>
        <v>49073.83</v>
      </c>
      <c r="R208">
        <f t="shared" si="31"/>
        <v>5001.99</v>
      </c>
    </row>
    <row r="209" spans="1:18">
      <c r="A209" t="s">
        <v>199</v>
      </c>
      <c r="B209" t="s">
        <v>200</v>
      </c>
      <c r="C209" t="s">
        <v>19</v>
      </c>
      <c r="D209" t="s">
        <v>20</v>
      </c>
      <c r="E209" t="s">
        <v>21</v>
      </c>
      <c r="F209" t="s">
        <v>22</v>
      </c>
      <c r="G209">
        <v>5</v>
      </c>
      <c r="H209">
        <v>273751.06</v>
      </c>
      <c r="I209">
        <v>37852.75</v>
      </c>
      <c r="J209" t="s">
        <v>16</v>
      </c>
      <c r="K209" t="str">
        <f t="shared" si="24"/>
        <v>South</v>
      </c>
      <c r="L209" t="str">
        <f t="shared" si="25"/>
        <v>Electronics</v>
      </c>
      <c r="M209" t="str">
        <f t="shared" si="26"/>
        <v>Laptop</v>
      </c>
      <c r="N209" t="str">
        <f t="shared" si="27"/>
        <v>OK</v>
      </c>
      <c r="O209" t="str">
        <f t="shared" si="28"/>
        <v>Existing</v>
      </c>
      <c r="P209" t="str">
        <f t="shared" si="29"/>
        <v>Net Banking</v>
      </c>
      <c r="Q209">
        <f t="shared" si="30"/>
        <v>273751.06</v>
      </c>
      <c r="R209">
        <f t="shared" si="31"/>
        <v>37852.75</v>
      </c>
    </row>
    <row r="210" spans="1:18">
      <c r="A210" t="s">
        <v>518</v>
      </c>
      <c r="B210" t="s">
        <v>519</v>
      </c>
      <c r="C210" t="s">
        <v>19</v>
      </c>
      <c r="D210" t="s">
        <v>20</v>
      </c>
      <c r="E210" t="s">
        <v>21</v>
      </c>
      <c r="F210" t="s">
        <v>22</v>
      </c>
      <c r="G210">
        <v>1</v>
      </c>
      <c r="H210">
        <v>49586.91</v>
      </c>
      <c r="I210">
        <v>2816.54</v>
      </c>
      <c r="J210" t="s">
        <v>29</v>
      </c>
      <c r="K210" t="str">
        <f t="shared" si="24"/>
        <v>South</v>
      </c>
      <c r="L210" t="str">
        <f t="shared" si="25"/>
        <v>Electronics</v>
      </c>
      <c r="M210" t="str">
        <f t="shared" si="26"/>
        <v>Laptop</v>
      </c>
      <c r="N210" t="str">
        <f t="shared" si="27"/>
        <v>OK</v>
      </c>
      <c r="O210" t="str">
        <f t="shared" si="28"/>
        <v>Existing</v>
      </c>
      <c r="P210" t="str">
        <f t="shared" si="29"/>
        <v>Cash</v>
      </c>
      <c r="Q210">
        <f t="shared" si="30"/>
        <v>49586.91</v>
      </c>
      <c r="R210">
        <f t="shared" si="31"/>
        <v>2816.54</v>
      </c>
    </row>
    <row r="211" spans="1:18">
      <c r="A211" t="s">
        <v>300</v>
      </c>
      <c r="B211" t="s">
        <v>154</v>
      </c>
      <c r="C211" t="s">
        <v>26</v>
      </c>
      <c r="D211" t="s">
        <v>20</v>
      </c>
      <c r="E211" t="s">
        <v>21</v>
      </c>
      <c r="F211" t="s">
        <v>22</v>
      </c>
      <c r="G211">
        <v>1</v>
      </c>
      <c r="H211">
        <v>54559.56</v>
      </c>
      <c r="I211">
        <v>-139.24</v>
      </c>
      <c r="J211" t="s">
        <v>23</v>
      </c>
      <c r="K211" t="str">
        <f t="shared" si="24"/>
        <v>West</v>
      </c>
      <c r="L211" t="str">
        <f t="shared" si="25"/>
        <v>Electronics</v>
      </c>
      <c r="M211" t="str">
        <f t="shared" si="26"/>
        <v>Laptop</v>
      </c>
      <c r="N211" t="str">
        <f t="shared" si="27"/>
        <v>OK</v>
      </c>
      <c r="O211" t="str">
        <f t="shared" si="28"/>
        <v>Existing</v>
      </c>
      <c r="P211" t="str">
        <f t="shared" si="29"/>
        <v>Card</v>
      </c>
      <c r="Q211">
        <f t="shared" si="30"/>
        <v>54559.56</v>
      </c>
      <c r="R211">
        <f t="shared" si="31"/>
        <v>-139.24</v>
      </c>
    </row>
    <row r="212" spans="1:18">
      <c r="A212" t="s">
        <v>353</v>
      </c>
      <c r="B212" t="s">
        <v>354</v>
      </c>
      <c r="C212" t="s">
        <v>26</v>
      </c>
      <c r="D212" t="s">
        <v>20</v>
      </c>
      <c r="E212" t="s">
        <v>21</v>
      </c>
      <c r="F212" t="s">
        <v>15</v>
      </c>
      <c r="G212">
        <v>3</v>
      </c>
      <c r="H212">
        <v>147128.43</v>
      </c>
      <c r="I212">
        <v>-3850.78</v>
      </c>
      <c r="J212" t="s">
        <v>29</v>
      </c>
      <c r="K212" t="str">
        <f t="shared" si="24"/>
        <v>West</v>
      </c>
      <c r="L212" t="str">
        <f t="shared" si="25"/>
        <v>Electronics</v>
      </c>
      <c r="M212" t="str">
        <f t="shared" si="26"/>
        <v>Laptop</v>
      </c>
      <c r="N212" t="str">
        <f t="shared" si="27"/>
        <v>OK</v>
      </c>
      <c r="O212" t="str">
        <f t="shared" si="28"/>
        <v>New</v>
      </c>
      <c r="P212" t="str">
        <f t="shared" si="29"/>
        <v>Cash</v>
      </c>
      <c r="Q212">
        <f t="shared" si="30"/>
        <v>147128.43</v>
      </c>
      <c r="R212">
        <f t="shared" si="31"/>
        <v>-3850.78</v>
      </c>
    </row>
    <row r="213" spans="1:18">
      <c r="A213" t="s">
        <v>407</v>
      </c>
      <c r="B213" t="s">
        <v>408</v>
      </c>
      <c r="C213" t="s">
        <v>26</v>
      </c>
      <c r="D213" t="s">
        <v>20</v>
      </c>
      <c r="E213" t="s">
        <v>21</v>
      </c>
      <c r="F213" t="s">
        <v>15</v>
      </c>
      <c r="G213">
        <v>1</v>
      </c>
      <c r="H213">
        <v>49818.2</v>
      </c>
      <c r="I213">
        <v>2904.1</v>
      </c>
      <c r="J213" t="s">
        <v>23</v>
      </c>
      <c r="K213" t="str">
        <f t="shared" si="24"/>
        <v>West</v>
      </c>
      <c r="L213" t="str">
        <f t="shared" si="25"/>
        <v>Electronics</v>
      </c>
      <c r="M213" t="str">
        <f t="shared" si="26"/>
        <v>Laptop</v>
      </c>
      <c r="N213" t="str">
        <f t="shared" si="27"/>
        <v>OK</v>
      </c>
      <c r="O213" t="str">
        <f t="shared" si="28"/>
        <v>New</v>
      </c>
      <c r="P213" t="str">
        <f t="shared" si="29"/>
        <v>Card</v>
      </c>
      <c r="Q213">
        <f t="shared" si="30"/>
        <v>49818.2</v>
      </c>
      <c r="R213">
        <f t="shared" si="31"/>
        <v>2904.1</v>
      </c>
    </row>
    <row r="214" spans="1:18">
      <c r="A214" t="s">
        <v>545</v>
      </c>
      <c r="B214" t="s">
        <v>276</v>
      </c>
      <c r="C214" t="s">
        <v>26</v>
      </c>
      <c r="D214" t="s">
        <v>20</v>
      </c>
      <c r="E214" t="s">
        <v>21</v>
      </c>
      <c r="F214" t="s">
        <v>22</v>
      </c>
      <c r="G214">
        <v>2</v>
      </c>
      <c r="H214">
        <v>100845.24</v>
      </c>
      <c r="I214">
        <v>4387.17</v>
      </c>
      <c r="J214" t="s">
        <v>16</v>
      </c>
      <c r="K214" t="str">
        <f t="shared" si="24"/>
        <v>West</v>
      </c>
      <c r="L214" t="str">
        <f t="shared" si="25"/>
        <v>Electronics</v>
      </c>
      <c r="M214" t="str">
        <f t="shared" si="26"/>
        <v>Laptop</v>
      </c>
      <c r="N214" t="str">
        <f t="shared" si="27"/>
        <v>OK</v>
      </c>
      <c r="O214" t="str">
        <f t="shared" si="28"/>
        <v>Existing</v>
      </c>
      <c r="P214" t="str">
        <f t="shared" si="29"/>
        <v>Net Banking</v>
      </c>
      <c r="Q214">
        <f t="shared" si="30"/>
        <v>100845.24</v>
      </c>
      <c r="R214">
        <f t="shared" si="31"/>
        <v>4387.17</v>
      </c>
    </row>
    <row r="215" spans="1:18">
      <c r="A215" t="s">
        <v>67</v>
      </c>
      <c r="B215" t="s">
        <v>40</v>
      </c>
      <c r="C215" t="s">
        <v>32</v>
      </c>
      <c r="D215" t="s">
        <v>20</v>
      </c>
      <c r="E215" t="s">
        <v>66</v>
      </c>
      <c r="F215" t="s">
        <v>22</v>
      </c>
      <c r="G215">
        <v>2</v>
      </c>
      <c r="H215">
        <v>25022.16</v>
      </c>
      <c r="I215">
        <v>1592.34</v>
      </c>
      <c r="J215" t="s">
        <v>16</v>
      </c>
      <c r="K215" t="str">
        <f t="shared" si="24"/>
        <v>East</v>
      </c>
      <c r="L215" t="str">
        <f t="shared" si="25"/>
        <v>Electronics</v>
      </c>
      <c r="M215" t="str">
        <f t="shared" si="26"/>
        <v>Monitor</v>
      </c>
      <c r="N215" t="str">
        <f t="shared" si="27"/>
        <v>OK</v>
      </c>
      <c r="O215" t="str">
        <f t="shared" si="28"/>
        <v>Existing</v>
      </c>
      <c r="P215" t="str">
        <f t="shared" si="29"/>
        <v>Net Banking</v>
      </c>
      <c r="Q215">
        <f t="shared" si="30"/>
        <v>25022.16</v>
      </c>
      <c r="R215">
        <f t="shared" si="31"/>
        <v>1592.34</v>
      </c>
    </row>
    <row r="216" spans="1:18">
      <c r="A216" t="s">
        <v>123</v>
      </c>
      <c r="B216" t="s">
        <v>124</v>
      </c>
      <c r="C216" t="s">
        <v>32</v>
      </c>
      <c r="D216" t="s">
        <v>20</v>
      </c>
      <c r="E216" t="s">
        <v>66</v>
      </c>
      <c r="F216" t="s">
        <v>22</v>
      </c>
      <c r="G216">
        <v>3</v>
      </c>
      <c r="H216">
        <v>32675.45</v>
      </c>
      <c r="I216">
        <v>4403.53</v>
      </c>
      <c r="J216" t="s">
        <v>34</v>
      </c>
      <c r="K216" t="str">
        <f t="shared" si="24"/>
        <v>East</v>
      </c>
      <c r="L216" t="str">
        <f t="shared" si="25"/>
        <v>Electronics</v>
      </c>
      <c r="M216" t="str">
        <f t="shared" si="26"/>
        <v>Monitor</v>
      </c>
      <c r="N216" t="str">
        <f t="shared" si="27"/>
        <v>OK</v>
      </c>
      <c r="O216" t="str">
        <f t="shared" si="28"/>
        <v>Existing</v>
      </c>
      <c r="P216" t="str">
        <f t="shared" si="29"/>
        <v>Upi</v>
      </c>
      <c r="Q216">
        <f t="shared" si="30"/>
        <v>32675.45</v>
      </c>
      <c r="R216">
        <f t="shared" si="31"/>
        <v>4403.53</v>
      </c>
    </row>
    <row r="217" spans="1:18">
      <c r="A217" t="s">
        <v>215</v>
      </c>
      <c r="B217" t="s">
        <v>216</v>
      </c>
      <c r="C217" t="s">
        <v>32</v>
      </c>
      <c r="D217" t="s">
        <v>20</v>
      </c>
      <c r="E217" t="s">
        <v>66</v>
      </c>
      <c r="F217" t="s">
        <v>15</v>
      </c>
      <c r="G217">
        <v>5</v>
      </c>
      <c r="H217">
        <v>65409.440000000002</v>
      </c>
      <c r="I217">
        <v>18304.57</v>
      </c>
      <c r="J217" t="s">
        <v>23</v>
      </c>
      <c r="K217" t="str">
        <f t="shared" si="24"/>
        <v>East</v>
      </c>
      <c r="L217" t="str">
        <f t="shared" si="25"/>
        <v>Electronics</v>
      </c>
      <c r="M217" t="str">
        <f t="shared" si="26"/>
        <v>Monitor</v>
      </c>
      <c r="N217" t="str">
        <f t="shared" si="27"/>
        <v>OK</v>
      </c>
      <c r="O217" t="str">
        <f t="shared" si="28"/>
        <v>New</v>
      </c>
      <c r="P217" t="str">
        <f t="shared" si="29"/>
        <v>Card</v>
      </c>
      <c r="Q217">
        <f t="shared" si="30"/>
        <v>65409.440000000002</v>
      </c>
      <c r="R217">
        <f t="shared" si="31"/>
        <v>18304.57</v>
      </c>
    </row>
    <row r="218" spans="1:18">
      <c r="A218" t="s">
        <v>502</v>
      </c>
      <c r="B218" t="s">
        <v>196</v>
      </c>
      <c r="C218" t="s">
        <v>32</v>
      </c>
      <c r="D218" t="s">
        <v>20</v>
      </c>
      <c r="E218" t="s">
        <v>66</v>
      </c>
      <c r="F218" t="s">
        <v>22</v>
      </c>
      <c r="G218">
        <v>2</v>
      </c>
      <c r="H218">
        <v>22756.65</v>
      </c>
      <c r="I218">
        <v>3256.96</v>
      </c>
      <c r="J218" t="s">
        <v>16</v>
      </c>
      <c r="K218" t="str">
        <f t="shared" si="24"/>
        <v>East</v>
      </c>
      <c r="L218" t="str">
        <f t="shared" si="25"/>
        <v>Electronics</v>
      </c>
      <c r="M218" t="str">
        <f t="shared" si="26"/>
        <v>Monitor</v>
      </c>
      <c r="N218" t="str">
        <f t="shared" si="27"/>
        <v>OK</v>
      </c>
      <c r="O218" t="str">
        <f t="shared" si="28"/>
        <v>Existing</v>
      </c>
      <c r="P218" t="str">
        <f t="shared" si="29"/>
        <v>Net Banking</v>
      </c>
      <c r="Q218">
        <f t="shared" si="30"/>
        <v>22756.65</v>
      </c>
      <c r="R218">
        <f t="shared" si="31"/>
        <v>3256.96</v>
      </c>
    </row>
    <row r="219" spans="1:18">
      <c r="A219" t="s">
        <v>511</v>
      </c>
      <c r="B219" t="s">
        <v>512</v>
      </c>
      <c r="C219" t="s">
        <v>32</v>
      </c>
      <c r="D219" t="s">
        <v>20</v>
      </c>
      <c r="E219" t="s">
        <v>66</v>
      </c>
      <c r="F219" t="s">
        <v>22</v>
      </c>
      <c r="G219">
        <v>2</v>
      </c>
      <c r="H219">
        <v>24320.14</v>
      </c>
      <c r="I219">
        <v>5491.47</v>
      </c>
      <c r="J219" t="s">
        <v>23</v>
      </c>
      <c r="K219" t="str">
        <f t="shared" si="24"/>
        <v>East</v>
      </c>
      <c r="L219" t="str">
        <f t="shared" si="25"/>
        <v>Electronics</v>
      </c>
      <c r="M219" t="str">
        <f t="shared" si="26"/>
        <v>Monitor</v>
      </c>
      <c r="N219" t="str">
        <f t="shared" si="27"/>
        <v>OK</v>
      </c>
      <c r="O219" t="str">
        <f t="shared" si="28"/>
        <v>Existing</v>
      </c>
      <c r="P219" t="str">
        <f t="shared" si="29"/>
        <v>Card</v>
      </c>
      <c r="Q219">
        <f t="shared" si="30"/>
        <v>24320.14</v>
      </c>
      <c r="R219">
        <f t="shared" si="31"/>
        <v>5491.47</v>
      </c>
    </row>
    <row r="220" spans="1:18">
      <c r="A220" t="s">
        <v>157</v>
      </c>
      <c r="B220" t="s">
        <v>158</v>
      </c>
      <c r="C220" t="s">
        <v>12</v>
      </c>
      <c r="D220" t="s">
        <v>20</v>
      </c>
      <c r="E220" t="s">
        <v>66</v>
      </c>
      <c r="F220" t="s">
        <v>15</v>
      </c>
      <c r="G220">
        <v>5</v>
      </c>
      <c r="H220">
        <v>54323.6</v>
      </c>
      <c r="I220">
        <v>3359.77</v>
      </c>
      <c r="J220" t="s">
        <v>16</v>
      </c>
      <c r="K220" t="str">
        <f t="shared" si="24"/>
        <v>North</v>
      </c>
      <c r="L220" t="str">
        <f t="shared" si="25"/>
        <v>Electronics</v>
      </c>
      <c r="M220" t="str">
        <f t="shared" si="26"/>
        <v>Monitor</v>
      </c>
      <c r="N220" t="str">
        <f t="shared" si="27"/>
        <v>OK</v>
      </c>
      <c r="O220" t="str">
        <f t="shared" si="28"/>
        <v>New</v>
      </c>
      <c r="P220" t="str">
        <f t="shared" si="29"/>
        <v>Net Banking</v>
      </c>
      <c r="Q220">
        <f t="shared" si="30"/>
        <v>54323.6</v>
      </c>
      <c r="R220">
        <f t="shared" si="31"/>
        <v>3359.77</v>
      </c>
    </row>
    <row r="221" spans="1:18">
      <c r="A221" t="s">
        <v>173</v>
      </c>
      <c r="B221" t="s">
        <v>174</v>
      </c>
      <c r="C221" t="s">
        <v>12</v>
      </c>
      <c r="D221" t="s">
        <v>20</v>
      </c>
      <c r="E221" t="s">
        <v>66</v>
      </c>
      <c r="F221" t="s">
        <v>22</v>
      </c>
      <c r="G221">
        <v>3</v>
      </c>
      <c r="H221">
        <v>32491.1</v>
      </c>
      <c r="I221">
        <v>2314.0500000000002</v>
      </c>
      <c r="J221" t="s">
        <v>29</v>
      </c>
      <c r="K221" t="str">
        <f t="shared" si="24"/>
        <v>North</v>
      </c>
      <c r="L221" t="str">
        <f t="shared" si="25"/>
        <v>Electronics</v>
      </c>
      <c r="M221" t="str">
        <f t="shared" si="26"/>
        <v>Monitor</v>
      </c>
      <c r="N221" t="str">
        <f t="shared" si="27"/>
        <v>OK</v>
      </c>
      <c r="O221" t="str">
        <f t="shared" si="28"/>
        <v>Existing</v>
      </c>
      <c r="P221" t="str">
        <f t="shared" si="29"/>
        <v>Cash</v>
      </c>
      <c r="Q221">
        <f t="shared" si="30"/>
        <v>32491.1</v>
      </c>
      <c r="R221">
        <f t="shared" si="31"/>
        <v>2314.0500000000002</v>
      </c>
    </row>
    <row r="222" spans="1:18">
      <c r="A222" t="s">
        <v>193</v>
      </c>
      <c r="B222" t="s">
        <v>194</v>
      </c>
      <c r="C222" t="s">
        <v>12</v>
      </c>
      <c r="D222" t="s">
        <v>20</v>
      </c>
      <c r="E222" t="s">
        <v>66</v>
      </c>
      <c r="F222" t="s">
        <v>15</v>
      </c>
      <c r="G222">
        <v>3</v>
      </c>
      <c r="H222">
        <v>37421.410000000003</v>
      </c>
      <c r="I222">
        <v>-1292.51</v>
      </c>
      <c r="J222" t="s">
        <v>29</v>
      </c>
      <c r="K222" t="str">
        <f t="shared" si="24"/>
        <v>North</v>
      </c>
      <c r="L222" t="str">
        <f t="shared" si="25"/>
        <v>Electronics</v>
      </c>
      <c r="M222" t="str">
        <f t="shared" si="26"/>
        <v>Monitor</v>
      </c>
      <c r="N222" t="str">
        <f t="shared" si="27"/>
        <v>OK</v>
      </c>
      <c r="O222" t="str">
        <f t="shared" si="28"/>
        <v>New</v>
      </c>
      <c r="P222" t="str">
        <f t="shared" si="29"/>
        <v>Cash</v>
      </c>
      <c r="Q222">
        <f t="shared" si="30"/>
        <v>37421.410000000003</v>
      </c>
      <c r="R222">
        <f t="shared" si="31"/>
        <v>-1292.51</v>
      </c>
    </row>
    <row r="223" spans="1:18">
      <c r="A223" t="s">
        <v>237</v>
      </c>
      <c r="B223" t="s">
        <v>238</v>
      </c>
      <c r="C223" t="s">
        <v>12</v>
      </c>
      <c r="D223" t="s">
        <v>20</v>
      </c>
      <c r="E223" t="s">
        <v>66</v>
      </c>
      <c r="F223" t="s">
        <v>22</v>
      </c>
      <c r="G223">
        <v>5</v>
      </c>
      <c r="H223">
        <v>57983.94</v>
      </c>
      <c r="I223">
        <v>-2543.6799999999998</v>
      </c>
      <c r="J223" t="s">
        <v>34</v>
      </c>
      <c r="K223" t="str">
        <f t="shared" si="24"/>
        <v>North</v>
      </c>
      <c r="L223" t="str">
        <f t="shared" si="25"/>
        <v>Electronics</v>
      </c>
      <c r="M223" t="str">
        <f t="shared" si="26"/>
        <v>Monitor</v>
      </c>
      <c r="N223" t="str">
        <f t="shared" si="27"/>
        <v>OK</v>
      </c>
      <c r="O223" t="str">
        <f t="shared" si="28"/>
        <v>Existing</v>
      </c>
      <c r="P223" t="str">
        <f t="shared" si="29"/>
        <v>Upi</v>
      </c>
      <c r="Q223">
        <f t="shared" si="30"/>
        <v>57983.94</v>
      </c>
      <c r="R223">
        <f t="shared" si="31"/>
        <v>-2543.6799999999998</v>
      </c>
    </row>
    <row r="224" spans="1:18">
      <c r="A224" t="s">
        <v>264</v>
      </c>
      <c r="B224" t="s">
        <v>265</v>
      </c>
      <c r="C224" t="s">
        <v>12</v>
      </c>
      <c r="D224" t="s">
        <v>20</v>
      </c>
      <c r="E224" t="s">
        <v>66</v>
      </c>
      <c r="F224" t="s">
        <v>22</v>
      </c>
      <c r="G224">
        <v>5</v>
      </c>
      <c r="H224">
        <v>57936.08</v>
      </c>
      <c r="I224">
        <v>8089.59</v>
      </c>
      <c r="J224" t="s">
        <v>29</v>
      </c>
      <c r="K224" t="str">
        <f t="shared" si="24"/>
        <v>North</v>
      </c>
      <c r="L224" t="str">
        <f t="shared" si="25"/>
        <v>Electronics</v>
      </c>
      <c r="M224" t="str">
        <f t="shared" si="26"/>
        <v>Monitor</v>
      </c>
      <c r="N224" t="str">
        <f t="shared" si="27"/>
        <v>OK</v>
      </c>
      <c r="O224" t="str">
        <f t="shared" si="28"/>
        <v>Existing</v>
      </c>
      <c r="P224" t="str">
        <f t="shared" si="29"/>
        <v>Cash</v>
      </c>
      <c r="Q224">
        <f t="shared" si="30"/>
        <v>57936.08</v>
      </c>
      <c r="R224">
        <f t="shared" si="31"/>
        <v>8089.59</v>
      </c>
    </row>
    <row r="225" spans="1:18">
      <c r="A225" t="s">
        <v>358</v>
      </c>
      <c r="B225" t="s">
        <v>359</v>
      </c>
      <c r="C225" t="s">
        <v>12</v>
      </c>
      <c r="D225" t="s">
        <v>20</v>
      </c>
      <c r="E225" t="s">
        <v>66</v>
      </c>
      <c r="F225" t="s">
        <v>22</v>
      </c>
      <c r="G225">
        <v>3</v>
      </c>
      <c r="H225">
        <v>34132.06</v>
      </c>
      <c r="I225">
        <v>2388.0300000000002</v>
      </c>
      <c r="J225" t="s">
        <v>34</v>
      </c>
      <c r="K225" t="str">
        <f t="shared" si="24"/>
        <v>North</v>
      </c>
      <c r="L225" t="str">
        <f t="shared" si="25"/>
        <v>Electronics</v>
      </c>
      <c r="M225" t="str">
        <f t="shared" si="26"/>
        <v>Monitor</v>
      </c>
      <c r="N225" t="str">
        <f t="shared" si="27"/>
        <v>OK</v>
      </c>
      <c r="O225" t="str">
        <f t="shared" si="28"/>
        <v>Existing</v>
      </c>
      <c r="P225" t="str">
        <f t="shared" si="29"/>
        <v>Upi</v>
      </c>
      <c r="Q225">
        <f t="shared" si="30"/>
        <v>34132.06</v>
      </c>
      <c r="R225">
        <f t="shared" si="31"/>
        <v>2388.0300000000002</v>
      </c>
    </row>
    <row r="226" spans="1:18">
      <c r="A226" t="s">
        <v>388</v>
      </c>
      <c r="B226" t="s">
        <v>164</v>
      </c>
      <c r="C226" t="s">
        <v>12</v>
      </c>
      <c r="D226" t="s">
        <v>20</v>
      </c>
      <c r="E226" t="s">
        <v>66</v>
      </c>
      <c r="F226" t="s">
        <v>15</v>
      </c>
      <c r="G226">
        <v>3</v>
      </c>
      <c r="H226">
        <v>37396.660000000003</v>
      </c>
      <c r="I226">
        <v>10452.61</v>
      </c>
      <c r="J226" t="s">
        <v>34</v>
      </c>
      <c r="K226" t="str">
        <f t="shared" si="24"/>
        <v>North</v>
      </c>
      <c r="L226" t="str">
        <f t="shared" si="25"/>
        <v>Electronics</v>
      </c>
      <c r="M226" t="str">
        <f t="shared" si="26"/>
        <v>Monitor</v>
      </c>
      <c r="N226" t="str">
        <f t="shared" si="27"/>
        <v>OK</v>
      </c>
      <c r="O226" t="str">
        <f t="shared" si="28"/>
        <v>New</v>
      </c>
      <c r="P226" t="str">
        <f t="shared" si="29"/>
        <v>Upi</v>
      </c>
      <c r="Q226">
        <f t="shared" si="30"/>
        <v>37396.660000000003</v>
      </c>
      <c r="R226">
        <f t="shared" si="31"/>
        <v>10452.61</v>
      </c>
    </row>
    <row r="227" spans="1:18">
      <c r="A227" t="s">
        <v>465</v>
      </c>
      <c r="B227" t="s">
        <v>466</v>
      </c>
      <c r="C227" t="s">
        <v>12</v>
      </c>
      <c r="D227" t="s">
        <v>20</v>
      </c>
      <c r="E227" t="s">
        <v>66</v>
      </c>
      <c r="F227" t="s">
        <v>15</v>
      </c>
      <c r="G227">
        <v>4</v>
      </c>
      <c r="H227">
        <v>48276.89</v>
      </c>
      <c r="I227">
        <v>8787.7900000000009</v>
      </c>
      <c r="J227" t="s">
        <v>29</v>
      </c>
      <c r="K227" t="str">
        <f t="shared" si="24"/>
        <v>North</v>
      </c>
      <c r="L227" t="str">
        <f t="shared" si="25"/>
        <v>Electronics</v>
      </c>
      <c r="M227" t="str">
        <f t="shared" si="26"/>
        <v>Monitor</v>
      </c>
      <c r="N227" t="str">
        <f t="shared" si="27"/>
        <v>OK</v>
      </c>
      <c r="O227" t="str">
        <f t="shared" si="28"/>
        <v>New</v>
      </c>
      <c r="P227" t="str">
        <f t="shared" si="29"/>
        <v>Cash</v>
      </c>
      <c r="Q227">
        <f t="shared" si="30"/>
        <v>48276.89</v>
      </c>
      <c r="R227">
        <f t="shared" si="31"/>
        <v>8787.7900000000009</v>
      </c>
    </row>
    <row r="228" spans="1:18">
      <c r="A228" t="s">
        <v>63</v>
      </c>
      <c r="B228" t="s">
        <v>64</v>
      </c>
      <c r="C228" t="s">
        <v>65</v>
      </c>
      <c r="D228" t="s">
        <v>20</v>
      </c>
      <c r="E228" t="s">
        <v>66</v>
      </c>
      <c r="F228" t="s">
        <v>22</v>
      </c>
      <c r="G228">
        <v>2</v>
      </c>
      <c r="H228">
        <v>22216.28</v>
      </c>
      <c r="I228">
        <v>2023.94</v>
      </c>
      <c r="J228" t="s">
        <v>16</v>
      </c>
      <c r="K228" t="str">
        <f t="shared" si="24"/>
        <v>South</v>
      </c>
      <c r="L228" t="str">
        <f t="shared" si="25"/>
        <v>Electronics</v>
      </c>
      <c r="M228" t="str">
        <f t="shared" si="26"/>
        <v>Monitor</v>
      </c>
      <c r="N228" t="str">
        <f t="shared" si="27"/>
        <v>OK</v>
      </c>
      <c r="O228" t="str">
        <f t="shared" si="28"/>
        <v>Existing</v>
      </c>
      <c r="P228" t="str">
        <f t="shared" si="29"/>
        <v>Net Banking</v>
      </c>
      <c r="Q228">
        <f t="shared" si="30"/>
        <v>22216.28</v>
      </c>
      <c r="R228">
        <f t="shared" si="31"/>
        <v>2023.94</v>
      </c>
    </row>
    <row r="229" spans="1:18">
      <c r="A229" t="s">
        <v>80</v>
      </c>
      <c r="B229" t="s">
        <v>81</v>
      </c>
      <c r="C229" t="s">
        <v>19</v>
      </c>
      <c r="D229" t="s">
        <v>20</v>
      </c>
      <c r="E229" t="s">
        <v>66</v>
      </c>
      <c r="F229" t="s">
        <v>22</v>
      </c>
      <c r="G229">
        <v>1</v>
      </c>
      <c r="H229">
        <v>13125.59</v>
      </c>
      <c r="I229">
        <v>3327.23</v>
      </c>
      <c r="J229" t="s">
        <v>16</v>
      </c>
      <c r="K229" t="str">
        <f t="shared" si="24"/>
        <v>South</v>
      </c>
      <c r="L229" t="str">
        <f t="shared" si="25"/>
        <v>Electronics</v>
      </c>
      <c r="M229" t="str">
        <f t="shared" si="26"/>
        <v>Monitor</v>
      </c>
      <c r="N229" t="str">
        <f t="shared" si="27"/>
        <v>OK</v>
      </c>
      <c r="O229" t="str">
        <f t="shared" si="28"/>
        <v>Existing</v>
      </c>
      <c r="P229" t="str">
        <f t="shared" si="29"/>
        <v>Net Banking</v>
      </c>
      <c r="Q229">
        <f t="shared" si="30"/>
        <v>13125.59</v>
      </c>
      <c r="R229">
        <f t="shared" si="31"/>
        <v>3327.23</v>
      </c>
    </row>
    <row r="230" spans="1:18">
      <c r="A230" t="s">
        <v>246</v>
      </c>
      <c r="B230" t="s">
        <v>91</v>
      </c>
      <c r="C230" t="s">
        <v>19</v>
      </c>
      <c r="D230" t="s">
        <v>20</v>
      </c>
      <c r="E230" t="s">
        <v>66</v>
      </c>
      <c r="F230" t="s">
        <v>15</v>
      </c>
      <c r="G230">
        <v>4</v>
      </c>
      <c r="H230">
        <v>49149.22</v>
      </c>
      <c r="I230">
        <v>329.24</v>
      </c>
      <c r="J230" t="s">
        <v>16</v>
      </c>
      <c r="K230" t="str">
        <f t="shared" si="24"/>
        <v>South</v>
      </c>
      <c r="L230" t="str">
        <f t="shared" si="25"/>
        <v>Electronics</v>
      </c>
      <c r="M230" t="str">
        <f t="shared" si="26"/>
        <v>Monitor</v>
      </c>
      <c r="N230" t="str">
        <f t="shared" si="27"/>
        <v>OK</v>
      </c>
      <c r="O230" t="str">
        <f t="shared" si="28"/>
        <v>New</v>
      </c>
      <c r="P230" t="str">
        <f t="shared" si="29"/>
        <v>Net Banking</v>
      </c>
      <c r="Q230">
        <f t="shared" si="30"/>
        <v>49149.22</v>
      </c>
      <c r="R230">
        <f t="shared" si="31"/>
        <v>329.24</v>
      </c>
    </row>
    <row r="231" spans="1:18">
      <c r="A231" t="s">
        <v>328</v>
      </c>
      <c r="B231" t="s">
        <v>329</v>
      </c>
      <c r="C231" t="s">
        <v>19</v>
      </c>
      <c r="D231" t="s">
        <v>20</v>
      </c>
      <c r="E231" t="s">
        <v>66</v>
      </c>
      <c r="F231" t="s">
        <v>22</v>
      </c>
      <c r="G231">
        <v>4</v>
      </c>
      <c r="H231">
        <v>45927.81</v>
      </c>
      <c r="I231">
        <v>8292</v>
      </c>
      <c r="J231" t="s">
        <v>34</v>
      </c>
      <c r="K231" t="str">
        <f t="shared" si="24"/>
        <v>South</v>
      </c>
      <c r="L231" t="str">
        <f t="shared" si="25"/>
        <v>Electronics</v>
      </c>
      <c r="M231" t="str">
        <f t="shared" si="26"/>
        <v>Monitor</v>
      </c>
      <c r="N231" t="str">
        <f t="shared" si="27"/>
        <v>OK</v>
      </c>
      <c r="O231" t="str">
        <f t="shared" si="28"/>
        <v>Existing</v>
      </c>
      <c r="P231" t="str">
        <f t="shared" si="29"/>
        <v>Upi</v>
      </c>
      <c r="Q231">
        <f t="shared" si="30"/>
        <v>45927.81</v>
      </c>
      <c r="R231">
        <f t="shared" si="31"/>
        <v>8292</v>
      </c>
    </row>
    <row r="232" spans="1:18">
      <c r="A232" t="s">
        <v>419</v>
      </c>
      <c r="B232" t="s">
        <v>420</v>
      </c>
      <c r="C232" t="s">
        <v>19</v>
      </c>
      <c r="D232" t="s">
        <v>20</v>
      </c>
      <c r="E232" t="s">
        <v>66</v>
      </c>
      <c r="F232" t="s">
        <v>22</v>
      </c>
      <c r="G232">
        <v>5</v>
      </c>
      <c r="H232">
        <v>58816.65</v>
      </c>
      <c r="I232">
        <v>-3852.97</v>
      </c>
      <c r="J232" t="s">
        <v>16</v>
      </c>
      <c r="K232" t="str">
        <f t="shared" si="24"/>
        <v>South</v>
      </c>
      <c r="L232" t="str">
        <f t="shared" si="25"/>
        <v>Electronics</v>
      </c>
      <c r="M232" t="str">
        <f t="shared" si="26"/>
        <v>Monitor</v>
      </c>
      <c r="N232" t="str">
        <f t="shared" si="27"/>
        <v>OK</v>
      </c>
      <c r="O232" t="str">
        <f t="shared" si="28"/>
        <v>Existing</v>
      </c>
      <c r="P232" t="str">
        <f t="shared" si="29"/>
        <v>Net Banking</v>
      </c>
      <c r="Q232">
        <f t="shared" si="30"/>
        <v>58816.65</v>
      </c>
      <c r="R232">
        <f t="shared" si="31"/>
        <v>-3852.97</v>
      </c>
    </row>
    <row r="233" spans="1:18">
      <c r="A233" t="s">
        <v>443</v>
      </c>
      <c r="B233" t="s">
        <v>420</v>
      </c>
      <c r="C233" t="s">
        <v>19</v>
      </c>
      <c r="D233" t="s">
        <v>20</v>
      </c>
      <c r="E233" t="s">
        <v>66</v>
      </c>
      <c r="F233" t="s">
        <v>22</v>
      </c>
      <c r="G233">
        <v>2</v>
      </c>
      <c r="H233">
        <v>24168.73</v>
      </c>
      <c r="I233">
        <v>4358.16</v>
      </c>
      <c r="J233" t="s">
        <v>23</v>
      </c>
      <c r="K233" t="str">
        <f t="shared" si="24"/>
        <v>South</v>
      </c>
      <c r="L233" t="str">
        <f t="shared" si="25"/>
        <v>Electronics</v>
      </c>
      <c r="M233" t="str">
        <f t="shared" si="26"/>
        <v>Monitor</v>
      </c>
      <c r="N233" t="str">
        <f t="shared" si="27"/>
        <v>OK</v>
      </c>
      <c r="O233" t="str">
        <f t="shared" si="28"/>
        <v>Existing</v>
      </c>
      <c r="P233" t="str">
        <f t="shared" si="29"/>
        <v>Card</v>
      </c>
      <c r="Q233">
        <f t="shared" si="30"/>
        <v>24168.73</v>
      </c>
      <c r="R233">
        <f t="shared" si="31"/>
        <v>4358.16</v>
      </c>
    </row>
    <row r="234" spans="1:18">
      <c r="A234" t="s">
        <v>267</v>
      </c>
      <c r="B234" t="s">
        <v>268</v>
      </c>
      <c r="C234" t="s">
        <v>26</v>
      </c>
      <c r="D234" t="s">
        <v>20</v>
      </c>
      <c r="E234" t="s">
        <v>66</v>
      </c>
      <c r="F234" t="s">
        <v>15</v>
      </c>
      <c r="G234">
        <v>2</v>
      </c>
      <c r="H234">
        <v>23465.5</v>
      </c>
      <c r="I234">
        <v>1256.9100000000001</v>
      </c>
      <c r="J234" t="s">
        <v>16</v>
      </c>
      <c r="K234" t="str">
        <f t="shared" si="24"/>
        <v>West</v>
      </c>
      <c r="L234" t="str">
        <f t="shared" si="25"/>
        <v>Electronics</v>
      </c>
      <c r="M234" t="str">
        <f t="shared" si="26"/>
        <v>Monitor</v>
      </c>
      <c r="N234" t="str">
        <f t="shared" si="27"/>
        <v>OK</v>
      </c>
      <c r="O234" t="str">
        <f t="shared" si="28"/>
        <v>New</v>
      </c>
      <c r="P234" t="str">
        <f t="shared" si="29"/>
        <v>Net Banking</v>
      </c>
      <c r="Q234">
        <f t="shared" si="30"/>
        <v>23465.5</v>
      </c>
      <c r="R234">
        <f t="shared" si="31"/>
        <v>1256.9100000000001</v>
      </c>
    </row>
    <row r="235" spans="1:18">
      <c r="A235" t="s">
        <v>305</v>
      </c>
      <c r="B235" t="s">
        <v>156</v>
      </c>
      <c r="C235" t="s">
        <v>26</v>
      </c>
      <c r="D235" t="s">
        <v>20</v>
      </c>
      <c r="E235" t="s">
        <v>66</v>
      </c>
      <c r="F235" t="s">
        <v>22</v>
      </c>
      <c r="G235">
        <v>1</v>
      </c>
      <c r="H235">
        <v>11628.41</v>
      </c>
      <c r="I235">
        <v>-466.06</v>
      </c>
      <c r="J235" t="s">
        <v>34</v>
      </c>
      <c r="K235" t="str">
        <f t="shared" si="24"/>
        <v>West</v>
      </c>
      <c r="L235" t="str">
        <f t="shared" si="25"/>
        <v>Electronics</v>
      </c>
      <c r="M235" t="str">
        <f t="shared" si="26"/>
        <v>Monitor</v>
      </c>
      <c r="N235" t="str">
        <f t="shared" si="27"/>
        <v>OK</v>
      </c>
      <c r="O235" t="str">
        <f t="shared" si="28"/>
        <v>Existing</v>
      </c>
      <c r="P235" t="str">
        <f t="shared" si="29"/>
        <v>Upi</v>
      </c>
      <c r="Q235">
        <f t="shared" si="30"/>
        <v>11628.41</v>
      </c>
      <c r="R235">
        <f t="shared" si="31"/>
        <v>-466.06</v>
      </c>
    </row>
    <row r="236" spans="1:18">
      <c r="A236" t="s">
        <v>415</v>
      </c>
      <c r="B236" t="s">
        <v>416</v>
      </c>
      <c r="C236" t="s">
        <v>26</v>
      </c>
      <c r="D236" t="s">
        <v>20</v>
      </c>
      <c r="E236" t="s">
        <v>66</v>
      </c>
      <c r="F236" t="s">
        <v>22</v>
      </c>
      <c r="G236">
        <v>5</v>
      </c>
      <c r="H236">
        <v>56335.86</v>
      </c>
      <c r="I236">
        <v>6713</v>
      </c>
      <c r="J236" t="s">
        <v>29</v>
      </c>
      <c r="K236" t="str">
        <f t="shared" si="24"/>
        <v>West</v>
      </c>
      <c r="L236" t="str">
        <f t="shared" si="25"/>
        <v>Electronics</v>
      </c>
      <c r="M236" t="str">
        <f t="shared" si="26"/>
        <v>Monitor</v>
      </c>
      <c r="N236" t="str">
        <f t="shared" si="27"/>
        <v>OK</v>
      </c>
      <c r="O236" t="str">
        <f t="shared" si="28"/>
        <v>Existing</v>
      </c>
      <c r="P236" t="str">
        <f t="shared" si="29"/>
        <v>Cash</v>
      </c>
      <c r="Q236">
        <f t="shared" si="30"/>
        <v>56335.86</v>
      </c>
      <c r="R236">
        <f t="shared" si="31"/>
        <v>6713</v>
      </c>
    </row>
    <row r="237" spans="1:18">
      <c r="A237" t="s">
        <v>459</v>
      </c>
      <c r="B237" t="s">
        <v>380</v>
      </c>
      <c r="C237" t="s">
        <v>26</v>
      </c>
      <c r="D237" t="s">
        <v>20</v>
      </c>
      <c r="E237" t="s">
        <v>66</v>
      </c>
      <c r="F237" t="s">
        <v>22</v>
      </c>
      <c r="G237">
        <v>4</v>
      </c>
      <c r="H237">
        <v>50963.44</v>
      </c>
      <c r="I237">
        <v>4241.97</v>
      </c>
      <c r="J237" t="s">
        <v>34</v>
      </c>
      <c r="K237" t="str">
        <f t="shared" si="24"/>
        <v>West</v>
      </c>
      <c r="L237" t="str">
        <f t="shared" si="25"/>
        <v>Electronics</v>
      </c>
      <c r="M237" t="str">
        <f t="shared" si="26"/>
        <v>Monitor</v>
      </c>
      <c r="N237" t="str">
        <f t="shared" si="27"/>
        <v>OK</v>
      </c>
      <c r="O237" t="str">
        <f t="shared" si="28"/>
        <v>Existing</v>
      </c>
      <c r="P237" t="str">
        <f t="shared" si="29"/>
        <v>Upi</v>
      </c>
      <c r="Q237">
        <f t="shared" si="30"/>
        <v>50963.44</v>
      </c>
      <c r="R237">
        <f t="shared" si="31"/>
        <v>4241.97</v>
      </c>
    </row>
    <row r="238" spans="1:18">
      <c r="A238" t="s">
        <v>57</v>
      </c>
      <c r="B238" t="s">
        <v>58</v>
      </c>
      <c r="C238" t="s">
        <v>32</v>
      </c>
      <c r="D238" t="s">
        <v>20</v>
      </c>
      <c r="E238" t="s">
        <v>59</v>
      </c>
      <c r="F238" t="s">
        <v>15</v>
      </c>
      <c r="G238">
        <v>5</v>
      </c>
      <c r="H238">
        <v>147334.94</v>
      </c>
      <c r="I238">
        <v>15140.93</v>
      </c>
      <c r="J238" t="s">
        <v>23</v>
      </c>
      <c r="K238" t="str">
        <f t="shared" si="24"/>
        <v>East</v>
      </c>
      <c r="L238" t="str">
        <f t="shared" si="25"/>
        <v>Electronics</v>
      </c>
      <c r="M238" t="str">
        <f t="shared" si="26"/>
        <v>Smartphone</v>
      </c>
      <c r="N238" t="str">
        <f t="shared" si="27"/>
        <v>OK</v>
      </c>
      <c r="O238" t="str">
        <f t="shared" si="28"/>
        <v>New</v>
      </c>
      <c r="P238" t="str">
        <f t="shared" si="29"/>
        <v>Card</v>
      </c>
      <c r="Q238">
        <f t="shared" si="30"/>
        <v>147334.94</v>
      </c>
      <c r="R238">
        <f t="shared" si="31"/>
        <v>15140.93</v>
      </c>
    </row>
    <row r="239" spans="1:18">
      <c r="A239" t="s">
        <v>111</v>
      </c>
      <c r="B239" t="s">
        <v>112</v>
      </c>
      <c r="C239" t="s">
        <v>32</v>
      </c>
      <c r="D239" t="s">
        <v>20</v>
      </c>
      <c r="E239" t="s">
        <v>59</v>
      </c>
      <c r="F239" t="s">
        <v>15</v>
      </c>
      <c r="G239">
        <v>3</v>
      </c>
      <c r="H239">
        <v>90702.89</v>
      </c>
      <c r="I239">
        <v>18739.580000000002</v>
      </c>
      <c r="J239" t="s">
        <v>23</v>
      </c>
      <c r="K239" t="str">
        <f t="shared" si="24"/>
        <v>East</v>
      </c>
      <c r="L239" t="str">
        <f t="shared" si="25"/>
        <v>Electronics</v>
      </c>
      <c r="M239" t="str">
        <f t="shared" si="26"/>
        <v>Smartphone</v>
      </c>
      <c r="N239" t="str">
        <f t="shared" si="27"/>
        <v>OK</v>
      </c>
      <c r="O239" t="str">
        <f t="shared" si="28"/>
        <v>New</v>
      </c>
      <c r="P239" t="str">
        <f t="shared" si="29"/>
        <v>Card</v>
      </c>
      <c r="Q239">
        <f t="shared" si="30"/>
        <v>90702.89</v>
      </c>
      <c r="R239">
        <f t="shared" si="31"/>
        <v>18739.580000000002</v>
      </c>
    </row>
    <row r="240" spans="1:18">
      <c r="A240" t="s">
        <v>126</v>
      </c>
      <c r="B240" t="s">
        <v>127</v>
      </c>
      <c r="C240" t="s">
        <v>32</v>
      </c>
      <c r="D240" t="s">
        <v>20</v>
      </c>
      <c r="E240" t="s">
        <v>59</v>
      </c>
      <c r="F240" t="s">
        <v>22</v>
      </c>
      <c r="G240">
        <v>5</v>
      </c>
      <c r="H240">
        <v>134789.64000000001</v>
      </c>
      <c r="I240">
        <v>30366.15</v>
      </c>
      <c r="J240" t="s">
        <v>29</v>
      </c>
      <c r="K240" t="str">
        <f t="shared" si="24"/>
        <v>East</v>
      </c>
      <c r="L240" t="str">
        <f t="shared" si="25"/>
        <v>Electronics</v>
      </c>
      <c r="M240" t="str">
        <f t="shared" si="26"/>
        <v>Smartphone</v>
      </c>
      <c r="N240" t="str">
        <f t="shared" si="27"/>
        <v>OK</v>
      </c>
      <c r="O240" t="str">
        <f t="shared" si="28"/>
        <v>Existing</v>
      </c>
      <c r="P240" t="str">
        <f t="shared" si="29"/>
        <v>Cash</v>
      </c>
      <c r="Q240">
        <f t="shared" si="30"/>
        <v>134789.64000000001</v>
      </c>
      <c r="R240">
        <f t="shared" si="31"/>
        <v>30366.15</v>
      </c>
    </row>
    <row r="241" spans="1:18">
      <c r="A241" t="s">
        <v>181</v>
      </c>
      <c r="B241" t="s">
        <v>182</v>
      </c>
      <c r="C241" t="s">
        <v>32</v>
      </c>
      <c r="D241" t="s">
        <v>20</v>
      </c>
      <c r="E241" t="s">
        <v>59</v>
      </c>
      <c r="F241" t="s">
        <v>15</v>
      </c>
      <c r="G241">
        <v>3</v>
      </c>
      <c r="H241">
        <v>81317.69</v>
      </c>
      <c r="I241">
        <v>19265.400000000001</v>
      </c>
      <c r="J241" t="s">
        <v>23</v>
      </c>
      <c r="K241" t="str">
        <f t="shared" si="24"/>
        <v>East</v>
      </c>
      <c r="L241" t="str">
        <f t="shared" si="25"/>
        <v>Electronics</v>
      </c>
      <c r="M241" t="str">
        <f t="shared" si="26"/>
        <v>Smartphone</v>
      </c>
      <c r="N241" t="str">
        <f t="shared" si="27"/>
        <v>OK</v>
      </c>
      <c r="O241" t="str">
        <f t="shared" si="28"/>
        <v>New</v>
      </c>
      <c r="P241" t="str">
        <f t="shared" si="29"/>
        <v>Card</v>
      </c>
      <c r="Q241">
        <f t="shared" si="30"/>
        <v>81317.69</v>
      </c>
      <c r="R241">
        <f t="shared" si="31"/>
        <v>19265.400000000001</v>
      </c>
    </row>
    <row r="242" spans="1:18">
      <c r="A242" t="s">
        <v>424</v>
      </c>
      <c r="B242" t="s">
        <v>91</v>
      </c>
      <c r="C242" t="s">
        <v>32</v>
      </c>
      <c r="D242" t="s">
        <v>20</v>
      </c>
      <c r="E242" t="s">
        <v>59</v>
      </c>
      <c r="F242" t="s">
        <v>15</v>
      </c>
      <c r="G242">
        <v>3</v>
      </c>
      <c r="H242">
        <v>86919.95</v>
      </c>
      <c r="I242">
        <v>23708.57</v>
      </c>
      <c r="J242" t="s">
        <v>16</v>
      </c>
      <c r="K242" t="str">
        <f t="shared" si="24"/>
        <v>East</v>
      </c>
      <c r="L242" t="str">
        <f t="shared" si="25"/>
        <v>Electronics</v>
      </c>
      <c r="M242" t="str">
        <f t="shared" si="26"/>
        <v>Smartphone</v>
      </c>
      <c r="N242" t="str">
        <f t="shared" si="27"/>
        <v>OK</v>
      </c>
      <c r="O242" t="str">
        <f t="shared" si="28"/>
        <v>New</v>
      </c>
      <c r="P242" t="str">
        <f t="shared" si="29"/>
        <v>Net Banking</v>
      </c>
      <c r="Q242">
        <f t="shared" si="30"/>
        <v>86919.95</v>
      </c>
      <c r="R242">
        <f t="shared" si="31"/>
        <v>23708.57</v>
      </c>
    </row>
    <row r="243" spans="1:18">
      <c r="A243" t="s">
        <v>434</v>
      </c>
      <c r="B243" t="s">
        <v>232</v>
      </c>
      <c r="C243" t="s">
        <v>32</v>
      </c>
      <c r="D243" t="s">
        <v>20</v>
      </c>
      <c r="E243" t="s">
        <v>59</v>
      </c>
      <c r="F243" t="s">
        <v>15</v>
      </c>
      <c r="G243">
        <v>5</v>
      </c>
      <c r="H243">
        <v>134357.98000000001</v>
      </c>
      <c r="I243">
        <v>34789.96</v>
      </c>
      <c r="J243" t="s">
        <v>16</v>
      </c>
      <c r="K243" t="str">
        <f t="shared" si="24"/>
        <v>East</v>
      </c>
      <c r="L243" t="str">
        <f t="shared" si="25"/>
        <v>Electronics</v>
      </c>
      <c r="M243" t="str">
        <f t="shared" si="26"/>
        <v>Smartphone</v>
      </c>
      <c r="N243" t="str">
        <f t="shared" si="27"/>
        <v>OK</v>
      </c>
      <c r="O243" t="str">
        <f t="shared" si="28"/>
        <v>New</v>
      </c>
      <c r="P243" t="str">
        <f t="shared" si="29"/>
        <v>Net Banking</v>
      </c>
      <c r="Q243">
        <f t="shared" si="30"/>
        <v>134357.98000000001</v>
      </c>
      <c r="R243">
        <f t="shared" si="31"/>
        <v>34789.96</v>
      </c>
    </row>
    <row r="244" spans="1:18">
      <c r="A244" t="s">
        <v>62</v>
      </c>
      <c r="B244" t="s">
        <v>46</v>
      </c>
      <c r="C244" t="s">
        <v>12</v>
      </c>
      <c r="D244" t="s">
        <v>20</v>
      </c>
      <c r="E244" t="s">
        <v>59</v>
      </c>
      <c r="F244" t="s">
        <v>15</v>
      </c>
      <c r="G244">
        <v>3</v>
      </c>
      <c r="H244">
        <v>79622.8</v>
      </c>
      <c r="I244">
        <v>534.57000000000005</v>
      </c>
      <c r="J244" t="s">
        <v>16</v>
      </c>
      <c r="K244" t="str">
        <f t="shared" si="24"/>
        <v>North</v>
      </c>
      <c r="L244" t="str">
        <f t="shared" si="25"/>
        <v>Electronics</v>
      </c>
      <c r="M244" t="str">
        <f t="shared" si="26"/>
        <v>Smartphone</v>
      </c>
      <c r="N244" t="str">
        <f t="shared" si="27"/>
        <v>OK</v>
      </c>
      <c r="O244" t="str">
        <f t="shared" si="28"/>
        <v>New</v>
      </c>
      <c r="P244" t="str">
        <f t="shared" si="29"/>
        <v>Net Banking</v>
      </c>
      <c r="Q244">
        <f t="shared" si="30"/>
        <v>79622.8</v>
      </c>
      <c r="R244">
        <f t="shared" si="31"/>
        <v>534.57000000000005</v>
      </c>
    </row>
    <row r="245" spans="1:18">
      <c r="A245" t="s">
        <v>275</v>
      </c>
      <c r="B245" t="s">
        <v>276</v>
      </c>
      <c r="C245" t="s">
        <v>12</v>
      </c>
      <c r="D245" t="s">
        <v>20</v>
      </c>
      <c r="E245" t="s">
        <v>59</v>
      </c>
      <c r="F245" t="s">
        <v>15</v>
      </c>
      <c r="G245">
        <v>2</v>
      </c>
      <c r="H245">
        <v>61474.79</v>
      </c>
      <c r="I245">
        <v>12498.57</v>
      </c>
      <c r="J245" t="s">
        <v>23</v>
      </c>
      <c r="K245" t="str">
        <f t="shared" si="24"/>
        <v>North</v>
      </c>
      <c r="L245" t="str">
        <f t="shared" si="25"/>
        <v>Electronics</v>
      </c>
      <c r="M245" t="str">
        <f t="shared" si="26"/>
        <v>Smartphone</v>
      </c>
      <c r="N245" t="str">
        <f t="shared" si="27"/>
        <v>OK</v>
      </c>
      <c r="O245" t="str">
        <f t="shared" si="28"/>
        <v>New</v>
      </c>
      <c r="P245" t="str">
        <f t="shared" si="29"/>
        <v>Card</v>
      </c>
      <c r="Q245">
        <f t="shared" si="30"/>
        <v>61474.79</v>
      </c>
      <c r="R245">
        <f t="shared" si="31"/>
        <v>12498.57</v>
      </c>
    </row>
    <row r="246" spans="1:18">
      <c r="A246" t="s">
        <v>153</v>
      </c>
      <c r="B246" t="s">
        <v>154</v>
      </c>
      <c r="C246" t="s">
        <v>19</v>
      </c>
      <c r="D246" t="s">
        <v>20</v>
      </c>
      <c r="E246" t="s">
        <v>59</v>
      </c>
      <c r="F246" t="s">
        <v>22</v>
      </c>
      <c r="G246">
        <v>3</v>
      </c>
      <c r="H246">
        <v>88258.38</v>
      </c>
      <c r="I246">
        <v>20055.95</v>
      </c>
      <c r="J246" t="s">
        <v>23</v>
      </c>
      <c r="K246" t="str">
        <f t="shared" si="24"/>
        <v>South</v>
      </c>
      <c r="L246" t="str">
        <f t="shared" si="25"/>
        <v>Electronics</v>
      </c>
      <c r="M246" t="str">
        <f t="shared" si="26"/>
        <v>Smartphone</v>
      </c>
      <c r="N246" t="str">
        <f t="shared" si="27"/>
        <v>OK</v>
      </c>
      <c r="O246" t="str">
        <f t="shared" si="28"/>
        <v>Existing</v>
      </c>
      <c r="P246" t="str">
        <f t="shared" si="29"/>
        <v>Card</v>
      </c>
      <c r="Q246">
        <f t="shared" si="30"/>
        <v>88258.38</v>
      </c>
      <c r="R246">
        <f t="shared" si="31"/>
        <v>20055.95</v>
      </c>
    </row>
    <row r="247" spans="1:18">
      <c r="A247" t="s">
        <v>277</v>
      </c>
      <c r="B247" t="s">
        <v>278</v>
      </c>
      <c r="C247" t="s">
        <v>19</v>
      </c>
      <c r="D247" t="s">
        <v>20</v>
      </c>
      <c r="E247" t="s">
        <v>59</v>
      </c>
      <c r="F247" t="s">
        <v>15</v>
      </c>
      <c r="G247">
        <v>2</v>
      </c>
      <c r="H247">
        <v>59232.81</v>
      </c>
      <c r="I247">
        <v>7969.98</v>
      </c>
      <c r="J247" t="s">
        <v>29</v>
      </c>
      <c r="K247" t="str">
        <f t="shared" si="24"/>
        <v>South</v>
      </c>
      <c r="L247" t="str">
        <f t="shared" si="25"/>
        <v>Electronics</v>
      </c>
      <c r="M247" t="str">
        <f t="shared" si="26"/>
        <v>Smartphone</v>
      </c>
      <c r="N247" t="str">
        <f t="shared" si="27"/>
        <v>OK</v>
      </c>
      <c r="O247" t="str">
        <f t="shared" si="28"/>
        <v>New</v>
      </c>
      <c r="P247" t="str">
        <f t="shared" si="29"/>
        <v>Cash</v>
      </c>
      <c r="Q247">
        <f t="shared" si="30"/>
        <v>59232.81</v>
      </c>
      <c r="R247">
        <f t="shared" si="31"/>
        <v>7969.98</v>
      </c>
    </row>
    <row r="248" spans="1:18">
      <c r="A248" t="s">
        <v>298</v>
      </c>
      <c r="B248" t="s">
        <v>299</v>
      </c>
      <c r="C248" t="s">
        <v>19</v>
      </c>
      <c r="D248" t="s">
        <v>20</v>
      </c>
      <c r="E248" t="s">
        <v>59</v>
      </c>
      <c r="F248" t="s">
        <v>22</v>
      </c>
      <c r="G248">
        <v>3</v>
      </c>
      <c r="H248">
        <v>91081.83</v>
      </c>
      <c r="I248">
        <v>4223.32</v>
      </c>
      <c r="J248" t="s">
        <v>34</v>
      </c>
      <c r="K248" t="str">
        <f t="shared" si="24"/>
        <v>South</v>
      </c>
      <c r="L248" t="str">
        <f t="shared" si="25"/>
        <v>Electronics</v>
      </c>
      <c r="M248" t="str">
        <f t="shared" si="26"/>
        <v>Smartphone</v>
      </c>
      <c r="N248" t="str">
        <f t="shared" si="27"/>
        <v>OK</v>
      </c>
      <c r="O248" t="str">
        <f t="shared" si="28"/>
        <v>Existing</v>
      </c>
      <c r="P248" t="str">
        <f t="shared" si="29"/>
        <v>Upi</v>
      </c>
      <c r="Q248">
        <f t="shared" si="30"/>
        <v>91081.83</v>
      </c>
      <c r="R248">
        <f t="shared" si="31"/>
        <v>4223.32</v>
      </c>
    </row>
    <row r="249" spans="1:18">
      <c r="A249" t="s">
        <v>334</v>
      </c>
      <c r="B249" t="s">
        <v>304</v>
      </c>
      <c r="C249" t="s">
        <v>19</v>
      </c>
      <c r="D249" t="s">
        <v>20</v>
      </c>
      <c r="E249" t="s">
        <v>59</v>
      </c>
      <c r="F249" t="s">
        <v>15</v>
      </c>
      <c r="G249">
        <v>3</v>
      </c>
      <c r="H249">
        <v>78628.42</v>
      </c>
      <c r="I249">
        <v>-227.29</v>
      </c>
      <c r="J249" t="s">
        <v>23</v>
      </c>
      <c r="K249" t="str">
        <f t="shared" si="24"/>
        <v>South</v>
      </c>
      <c r="L249" t="str">
        <f t="shared" si="25"/>
        <v>Electronics</v>
      </c>
      <c r="M249" t="str">
        <f t="shared" si="26"/>
        <v>Smartphone</v>
      </c>
      <c r="N249" t="str">
        <f t="shared" si="27"/>
        <v>OK</v>
      </c>
      <c r="O249" t="str">
        <f t="shared" si="28"/>
        <v>New</v>
      </c>
      <c r="P249" t="str">
        <f t="shared" si="29"/>
        <v>Card</v>
      </c>
      <c r="Q249">
        <f t="shared" si="30"/>
        <v>78628.42</v>
      </c>
      <c r="R249">
        <f t="shared" si="31"/>
        <v>-227.29</v>
      </c>
    </row>
    <row r="250" spans="1:18">
      <c r="A250" t="s">
        <v>503</v>
      </c>
      <c r="B250" t="s">
        <v>268</v>
      </c>
      <c r="C250" t="s">
        <v>19</v>
      </c>
      <c r="D250" t="s">
        <v>20</v>
      </c>
      <c r="E250" t="s">
        <v>59</v>
      </c>
      <c r="F250" t="s">
        <v>22</v>
      </c>
      <c r="G250">
        <v>4</v>
      </c>
      <c r="H250">
        <v>111081.55</v>
      </c>
      <c r="I250">
        <v>839.2</v>
      </c>
      <c r="J250" t="s">
        <v>34</v>
      </c>
      <c r="K250" t="str">
        <f t="shared" si="24"/>
        <v>South</v>
      </c>
      <c r="L250" t="str">
        <f t="shared" si="25"/>
        <v>Electronics</v>
      </c>
      <c r="M250" t="str">
        <f t="shared" si="26"/>
        <v>Smartphone</v>
      </c>
      <c r="N250" t="str">
        <f t="shared" si="27"/>
        <v>OK</v>
      </c>
      <c r="O250" t="str">
        <f t="shared" si="28"/>
        <v>Existing</v>
      </c>
      <c r="P250" t="str">
        <f t="shared" si="29"/>
        <v>Upi</v>
      </c>
      <c r="Q250">
        <f t="shared" si="30"/>
        <v>111081.55</v>
      </c>
      <c r="R250">
        <f t="shared" si="31"/>
        <v>839.2</v>
      </c>
    </row>
    <row r="251" spans="1:18">
      <c r="A251" t="s">
        <v>97</v>
      </c>
      <c r="B251" t="s">
        <v>98</v>
      </c>
      <c r="C251" t="s">
        <v>26</v>
      </c>
      <c r="D251" t="s">
        <v>20</v>
      </c>
      <c r="E251" t="s">
        <v>59</v>
      </c>
      <c r="F251" t="s">
        <v>22</v>
      </c>
      <c r="G251">
        <v>1</v>
      </c>
      <c r="H251">
        <v>30123.91</v>
      </c>
      <c r="I251">
        <v>1597.46</v>
      </c>
      <c r="J251" t="s">
        <v>34</v>
      </c>
      <c r="K251" t="str">
        <f t="shared" si="24"/>
        <v>West</v>
      </c>
      <c r="L251" t="str">
        <f t="shared" si="25"/>
        <v>Electronics</v>
      </c>
      <c r="M251" t="str">
        <f t="shared" si="26"/>
        <v>Smartphone</v>
      </c>
      <c r="N251" t="str">
        <f t="shared" si="27"/>
        <v>OK</v>
      </c>
      <c r="O251" t="str">
        <f t="shared" si="28"/>
        <v>Existing</v>
      </c>
      <c r="P251" t="str">
        <f t="shared" si="29"/>
        <v>Upi</v>
      </c>
      <c r="Q251">
        <f t="shared" si="30"/>
        <v>30123.91</v>
      </c>
      <c r="R251">
        <f t="shared" si="31"/>
        <v>1597.46</v>
      </c>
    </row>
    <row r="252" spans="1:18">
      <c r="A252" t="s">
        <v>351</v>
      </c>
      <c r="B252" t="s">
        <v>352</v>
      </c>
      <c r="C252" t="s">
        <v>26</v>
      </c>
      <c r="D252" t="s">
        <v>20</v>
      </c>
      <c r="E252" t="s">
        <v>59</v>
      </c>
      <c r="F252" t="s">
        <v>22</v>
      </c>
      <c r="G252">
        <v>4</v>
      </c>
      <c r="H252">
        <v>116392.01</v>
      </c>
      <c r="I252">
        <v>-3495.79</v>
      </c>
      <c r="J252" t="s">
        <v>34</v>
      </c>
      <c r="K252" t="str">
        <f t="shared" si="24"/>
        <v>West</v>
      </c>
      <c r="L252" t="str">
        <f t="shared" si="25"/>
        <v>Electronics</v>
      </c>
      <c r="M252" t="str">
        <f t="shared" si="26"/>
        <v>Smartphone</v>
      </c>
      <c r="N252" t="str">
        <f t="shared" si="27"/>
        <v>OK</v>
      </c>
      <c r="O252" t="str">
        <f t="shared" si="28"/>
        <v>Existing</v>
      </c>
      <c r="P252" t="str">
        <f t="shared" si="29"/>
        <v>Upi</v>
      </c>
      <c r="Q252">
        <f t="shared" si="30"/>
        <v>116392.01</v>
      </c>
      <c r="R252">
        <f t="shared" si="31"/>
        <v>-3495.79</v>
      </c>
    </row>
    <row r="253" spans="1:18">
      <c r="A253" t="s">
        <v>355</v>
      </c>
      <c r="B253" t="s">
        <v>297</v>
      </c>
      <c r="C253" t="s">
        <v>26</v>
      </c>
      <c r="D253" t="s">
        <v>20</v>
      </c>
      <c r="E253" t="s">
        <v>59</v>
      </c>
      <c r="F253" t="s">
        <v>15</v>
      </c>
      <c r="G253">
        <v>1</v>
      </c>
      <c r="H253">
        <v>25467.4</v>
      </c>
      <c r="I253">
        <v>1811.68</v>
      </c>
      <c r="J253" t="s">
        <v>34</v>
      </c>
      <c r="K253" t="str">
        <f t="shared" si="24"/>
        <v>West</v>
      </c>
      <c r="L253" t="str">
        <f t="shared" si="25"/>
        <v>Electronics</v>
      </c>
      <c r="M253" t="str">
        <f t="shared" si="26"/>
        <v>Smartphone</v>
      </c>
      <c r="N253" t="str">
        <f t="shared" si="27"/>
        <v>OK</v>
      </c>
      <c r="O253" t="str">
        <f t="shared" si="28"/>
        <v>New</v>
      </c>
      <c r="P253" t="str">
        <f t="shared" si="29"/>
        <v>Upi</v>
      </c>
      <c r="Q253">
        <f t="shared" si="30"/>
        <v>25467.4</v>
      </c>
      <c r="R253">
        <f t="shared" si="31"/>
        <v>1811.68</v>
      </c>
    </row>
    <row r="254" spans="1:18">
      <c r="A254" t="s">
        <v>412</v>
      </c>
      <c r="B254" t="s">
        <v>216</v>
      </c>
      <c r="C254" t="s">
        <v>26</v>
      </c>
      <c r="D254" t="s">
        <v>20</v>
      </c>
      <c r="E254" t="s">
        <v>59</v>
      </c>
      <c r="F254" t="s">
        <v>22</v>
      </c>
      <c r="G254">
        <v>4</v>
      </c>
      <c r="H254">
        <v>114184.42</v>
      </c>
      <c r="I254">
        <v>25511.75</v>
      </c>
      <c r="J254" t="s">
        <v>34</v>
      </c>
      <c r="K254" t="str">
        <f t="shared" si="24"/>
        <v>West</v>
      </c>
      <c r="L254" t="str">
        <f t="shared" si="25"/>
        <v>Electronics</v>
      </c>
      <c r="M254" t="str">
        <f t="shared" si="26"/>
        <v>Smartphone</v>
      </c>
      <c r="N254" t="str">
        <f t="shared" si="27"/>
        <v>OK</v>
      </c>
      <c r="O254" t="str">
        <f t="shared" si="28"/>
        <v>Existing</v>
      </c>
      <c r="P254" t="str">
        <f t="shared" si="29"/>
        <v>Upi</v>
      </c>
      <c r="Q254">
        <f t="shared" si="30"/>
        <v>114184.42</v>
      </c>
      <c r="R254">
        <f t="shared" si="31"/>
        <v>25511.75</v>
      </c>
    </row>
    <row r="255" spans="1:18">
      <c r="A255" t="s">
        <v>478</v>
      </c>
      <c r="B255" t="s">
        <v>479</v>
      </c>
      <c r="C255" t="s">
        <v>26</v>
      </c>
      <c r="D255" t="s">
        <v>20</v>
      </c>
      <c r="E255" t="s">
        <v>59</v>
      </c>
      <c r="F255" t="s">
        <v>15</v>
      </c>
      <c r="G255">
        <v>4</v>
      </c>
      <c r="H255">
        <v>118402.02</v>
      </c>
      <c r="I255">
        <v>4113.8100000000004</v>
      </c>
      <c r="J255" t="s">
        <v>29</v>
      </c>
      <c r="K255" t="str">
        <f t="shared" si="24"/>
        <v>West</v>
      </c>
      <c r="L255" t="str">
        <f t="shared" si="25"/>
        <v>Electronics</v>
      </c>
      <c r="M255" t="str">
        <f t="shared" si="26"/>
        <v>Smartphone</v>
      </c>
      <c r="N255" t="str">
        <f t="shared" si="27"/>
        <v>OK</v>
      </c>
      <c r="O255" t="str">
        <f t="shared" si="28"/>
        <v>New</v>
      </c>
      <c r="P255" t="str">
        <f t="shared" si="29"/>
        <v>Cash</v>
      </c>
      <c r="Q255">
        <f t="shared" si="30"/>
        <v>118402.02</v>
      </c>
      <c r="R255">
        <f t="shared" si="31"/>
        <v>4113.8100000000004</v>
      </c>
    </row>
    <row r="256" spans="1:18">
      <c r="A256" t="s">
        <v>525</v>
      </c>
      <c r="B256" t="s">
        <v>526</v>
      </c>
      <c r="C256" t="s">
        <v>26</v>
      </c>
      <c r="D256" t="s">
        <v>20</v>
      </c>
      <c r="E256" t="s">
        <v>59</v>
      </c>
      <c r="F256" t="s">
        <v>22</v>
      </c>
      <c r="G256">
        <v>3</v>
      </c>
      <c r="H256">
        <v>80109.23</v>
      </c>
      <c r="I256">
        <v>-2200.08</v>
      </c>
      <c r="J256" t="s">
        <v>16</v>
      </c>
      <c r="K256" t="str">
        <f t="shared" si="24"/>
        <v>West</v>
      </c>
      <c r="L256" t="str">
        <f t="shared" si="25"/>
        <v>Electronics</v>
      </c>
      <c r="M256" t="str">
        <f t="shared" si="26"/>
        <v>Smartphone</v>
      </c>
      <c r="N256" t="str">
        <f t="shared" si="27"/>
        <v>OK</v>
      </c>
      <c r="O256" t="str">
        <f t="shared" si="28"/>
        <v>Existing</v>
      </c>
      <c r="P256" t="str">
        <f t="shared" si="29"/>
        <v>Net Banking</v>
      </c>
      <c r="Q256">
        <f t="shared" si="30"/>
        <v>80109.23</v>
      </c>
      <c r="R256">
        <f t="shared" si="31"/>
        <v>-2200.08</v>
      </c>
    </row>
    <row r="257" spans="1:18">
      <c r="A257" t="s">
        <v>39</v>
      </c>
      <c r="B257" t="s">
        <v>40</v>
      </c>
      <c r="C257" t="s">
        <v>32</v>
      </c>
      <c r="D257" t="s">
        <v>27</v>
      </c>
      <c r="E257" t="s">
        <v>41</v>
      </c>
      <c r="F257" t="s">
        <v>15</v>
      </c>
      <c r="G257">
        <v>3</v>
      </c>
      <c r="H257">
        <v>9791.57</v>
      </c>
      <c r="I257">
        <v>468.99</v>
      </c>
      <c r="J257" t="s">
        <v>23</v>
      </c>
      <c r="K257" t="str">
        <f t="shared" si="24"/>
        <v>East</v>
      </c>
      <c r="L257" t="str">
        <f t="shared" si="25"/>
        <v>Clothing</v>
      </c>
      <c r="M257" t="str">
        <f t="shared" si="26"/>
        <v>Sneakers</v>
      </c>
      <c r="N257" t="str">
        <f t="shared" si="27"/>
        <v>OK</v>
      </c>
      <c r="O257" t="str">
        <f t="shared" si="28"/>
        <v>New</v>
      </c>
      <c r="P257" t="str">
        <f t="shared" si="29"/>
        <v>Card</v>
      </c>
      <c r="Q257">
        <f t="shared" si="30"/>
        <v>9791.57</v>
      </c>
      <c r="R257">
        <f t="shared" si="31"/>
        <v>468.99</v>
      </c>
    </row>
    <row r="258" spans="1:18">
      <c r="A258" t="s">
        <v>47</v>
      </c>
      <c r="B258" t="s">
        <v>48</v>
      </c>
      <c r="C258" t="s">
        <v>32</v>
      </c>
      <c r="D258" t="s">
        <v>27</v>
      </c>
      <c r="E258" t="s">
        <v>41</v>
      </c>
      <c r="F258" t="s">
        <v>22</v>
      </c>
      <c r="G258">
        <v>2</v>
      </c>
      <c r="H258">
        <v>6670.83</v>
      </c>
      <c r="I258">
        <v>58.61</v>
      </c>
      <c r="J258" t="s">
        <v>16</v>
      </c>
      <c r="K258" t="str">
        <f t="shared" si="24"/>
        <v>East</v>
      </c>
      <c r="L258" t="str">
        <f t="shared" si="25"/>
        <v>Clothing</v>
      </c>
      <c r="M258" t="str">
        <f t="shared" si="26"/>
        <v>Sneakers</v>
      </c>
      <c r="N258" t="str">
        <f t="shared" si="27"/>
        <v>OK</v>
      </c>
      <c r="O258" t="str">
        <f t="shared" si="28"/>
        <v>Existing</v>
      </c>
      <c r="P258" t="str">
        <f t="shared" si="29"/>
        <v>Net Banking</v>
      </c>
      <c r="Q258">
        <f t="shared" si="30"/>
        <v>6670.83</v>
      </c>
      <c r="R258">
        <f t="shared" si="31"/>
        <v>58.61</v>
      </c>
    </row>
    <row r="259" spans="1:18">
      <c r="A259" t="s">
        <v>84</v>
      </c>
      <c r="B259" t="s">
        <v>85</v>
      </c>
      <c r="C259" t="s">
        <v>32</v>
      </c>
      <c r="D259" t="s">
        <v>27</v>
      </c>
      <c r="E259" t="s">
        <v>41</v>
      </c>
      <c r="F259" t="s">
        <v>15</v>
      </c>
      <c r="G259">
        <v>5</v>
      </c>
      <c r="H259">
        <v>18066.55</v>
      </c>
      <c r="I259">
        <v>1719.97</v>
      </c>
      <c r="J259" t="s">
        <v>34</v>
      </c>
      <c r="K259" t="str">
        <f t="shared" ref="K259:K301" si="32">PROPER(TRIM(C259))</f>
        <v>East</v>
      </c>
      <c r="L259" t="str">
        <f t="shared" ref="L259:L301" si="33">PROPER(TRIM(D259))</f>
        <v>Clothing</v>
      </c>
      <c r="M259" t="str">
        <f t="shared" ref="M259:M301" si="34">PROPER(TRIM(E259))</f>
        <v>Sneakers</v>
      </c>
      <c r="N259" t="str">
        <f t="shared" ref="N259:N301" si="35">IF(OR(H259="",I259="",J259="",F259=""),"Review","OK")</f>
        <v>OK</v>
      </c>
      <c r="O259" t="str">
        <f t="shared" ref="O259:O301" si="36">IF(TRIM(F259)="","Review",PROPER(TRIM(F259)))</f>
        <v>New</v>
      </c>
      <c r="P259" t="str">
        <f t="shared" ref="P259:P301" si="37">IF(TRIM(J259)="","Review",PROPER(TRIM(J259)))</f>
        <v>Upi</v>
      </c>
      <c r="Q259">
        <f t="shared" ref="Q259:Q301" si="38">IF(H259="","",H259)</f>
        <v>18066.55</v>
      </c>
      <c r="R259">
        <f t="shared" ref="R259:R301" si="39">IF(I259="","",I259)</f>
        <v>1719.97</v>
      </c>
    </row>
    <row r="260" spans="1:18">
      <c r="A260" t="s">
        <v>147</v>
      </c>
      <c r="B260" t="s">
        <v>148</v>
      </c>
      <c r="C260" t="s">
        <v>32</v>
      </c>
      <c r="D260" t="s">
        <v>27</v>
      </c>
      <c r="E260" t="s">
        <v>41</v>
      </c>
      <c r="F260" t="s">
        <v>15</v>
      </c>
      <c r="G260">
        <v>1</v>
      </c>
      <c r="H260">
        <v>3649.48</v>
      </c>
      <c r="I260">
        <v>16.12</v>
      </c>
      <c r="J260" t="s">
        <v>23</v>
      </c>
      <c r="K260" t="str">
        <f t="shared" si="32"/>
        <v>East</v>
      </c>
      <c r="L260" t="str">
        <f t="shared" si="33"/>
        <v>Clothing</v>
      </c>
      <c r="M260" t="str">
        <f t="shared" si="34"/>
        <v>Sneakers</v>
      </c>
      <c r="N260" t="str">
        <f t="shared" si="35"/>
        <v>OK</v>
      </c>
      <c r="O260" t="str">
        <f t="shared" si="36"/>
        <v>New</v>
      </c>
      <c r="P260" t="str">
        <f t="shared" si="37"/>
        <v>Card</v>
      </c>
      <c r="Q260">
        <f t="shared" si="38"/>
        <v>3649.48</v>
      </c>
      <c r="R260">
        <f t="shared" si="39"/>
        <v>16.12</v>
      </c>
    </row>
    <row r="261" spans="1:18">
      <c r="A261" t="s">
        <v>205</v>
      </c>
      <c r="B261" t="s">
        <v>206</v>
      </c>
      <c r="C261" t="s">
        <v>32</v>
      </c>
      <c r="D261" t="s">
        <v>27</v>
      </c>
      <c r="E261" t="s">
        <v>41</v>
      </c>
      <c r="F261" t="s">
        <v>22</v>
      </c>
      <c r="G261">
        <v>5</v>
      </c>
      <c r="H261">
        <v>17394.689999999999</v>
      </c>
      <c r="I261">
        <v>-1187.18</v>
      </c>
      <c r="J261" t="s">
        <v>34</v>
      </c>
      <c r="K261" t="str">
        <f t="shared" si="32"/>
        <v>East</v>
      </c>
      <c r="L261" t="str">
        <f t="shared" si="33"/>
        <v>Clothing</v>
      </c>
      <c r="M261" t="str">
        <f t="shared" si="34"/>
        <v>Sneakers</v>
      </c>
      <c r="N261" t="str">
        <f t="shared" si="35"/>
        <v>OK</v>
      </c>
      <c r="O261" t="str">
        <f t="shared" si="36"/>
        <v>Existing</v>
      </c>
      <c r="P261" t="str">
        <f t="shared" si="37"/>
        <v>Upi</v>
      </c>
      <c r="Q261">
        <f t="shared" si="38"/>
        <v>17394.689999999999</v>
      </c>
      <c r="R261">
        <f t="shared" si="39"/>
        <v>-1187.18</v>
      </c>
    </row>
    <row r="262" spans="1:18">
      <c r="A262" t="s">
        <v>220</v>
      </c>
      <c r="B262" t="s">
        <v>196</v>
      </c>
      <c r="C262" t="s">
        <v>32</v>
      </c>
      <c r="D262" t="s">
        <v>27</v>
      </c>
      <c r="E262" t="s">
        <v>41</v>
      </c>
      <c r="F262" t="s">
        <v>15</v>
      </c>
      <c r="G262">
        <v>5</v>
      </c>
      <c r="H262">
        <v>15878.44</v>
      </c>
      <c r="I262">
        <v>-766.9</v>
      </c>
      <c r="J262" t="s">
        <v>16</v>
      </c>
      <c r="K262" t="str">
        <f t="shared" si="32"/>
        <v>East</v>
      </c>
      <c r="L262" t="str">
        <f t="shared" si="33"/>
        <v>Clothing</v>
      </c>
      <c r="M262" t="str">
        <f t="shared" si="34"/>
        <v>Sneakers</v>
      </c>
      <c r="N262" t="str">
        <f t="shared" si="35"/>
        <v>OK</v>
      </c>
      <c r="O262" t="str">
        <f t="shared" si="36"/>
        <v>New</v>
      </c>
      <c r="P262" t="str">
        <f t="shared" si="37"/>
        <v>Net Banking</v>
      </c>
      <c r="Q262">
        <f t="shared" si="38"/>
        <v>15878.44</v>
      </c>
      <c r="R262">
        <f t="shared" si="39"/>
        <v>-766.9</v>
      </c>
    </row>
    <row r="263" spans="1:18">
      <c r="A263" t="s">
        <v>254</v>
      </c>
      <c r="B263" t="s">
        <v>255</v>
      </c>
      <c r="C263" t="s">
        <v>32</v>
      </c>
      <c r="D263" t="s">
        <v>27</v>
      </c>
      <c r="E263" t="s">
        <v>41</v>
      </c>
      <c r="F263" t="s">
        <v>22</v>
      </c>
      <c r="G263">
        <v>1</v>
      </c>
      <c r="H263">
        <v>3555.7</v>
      </c>
      <c r="I263">
        <v>653</v>
      </c>
      <c r="J263" t="s">
        <v>16</v>
      </c>
      <c r="K263" t="str">
        <f t="shared" si="32"/>
        <v>East</v>
      </c>
      <c r="L263" t="str">
        <f t="shared" si="33"/>
        <v>Clothing</v>
      </c>
      <c r="M263" t="str">
        <f t="shared" si="34"/>
        <v>Sneakers</v>
      </c>
      <c r="N263" t="str">
        <f t="shared" si="35"/>
        <v>OK</v>
      </c>
      <c r="O263" t="str">
        <f t="shared" si="36"/>
        <v>Existing</v>
      </c>
      <c r="P263" t="str">
        <f t="shared" si="37"/>
        <v>Net Banking</v>
      </c>
      <c r="Q263">
        <f t="shared" si="38"/>
        <v>3555.7</v>
      </c>
      <c r="R263">
        <f t="shared" si="39"/>
        <v>653</v>
      </c>
    </row>
    <row r="264" spans="1:18">
      <c r="A264" t="s">
        <v>271</v>
      </c>
      <c r="B264" t="s">
        <v>272</v>
      </c>
      <c r="C264" t="s">
        <v>32</v>
      </c>
      <c r="D264" t="s">
        <v>27</v>
      </c>
      <c r="E264" t="s">
        <v>41</v>
      </c>
      <c r="F264" t="s">
        <v>22</v>
      </c>
      <c r="G264">
        <v>2</v>
      </c>
      <c r="H264">
        <v>7497.63</v>
      </c>
      <c r="I264">
        <v>-331.64</v>
      </c>
      <c r="J264" t="s">
        <v>34</v>
      </c>
      <c r="K264" t="str">
        <f t="shared" si="32"/>
        <v>East</v>
      </c>
      <c r="L264" t="str">
        <f t="shared" si="33"/>
        <v>Clothing</v>
      </c>
      <c r="M264" t="str">
        <f t="shared" si="34"/>
        <v>Sneakers</v>
      </c>
      <c r="N264" t="str">
        <f t="shared" si="35"/>
        <v>OK</v>
      </c>
      <c r="O264" t="str">
        <f t="shared" si="36"/>
        <v>Existing</v>
      </c>
      <c r="P264" t="str">
        <f t="shared" si="37"/>
        <v>Upi</v>
      </c>
      <c r="Q264">
        <f t="shared" si="38"/>
        <v>7497.63</v>
      </c>
      <c r="R264">
        <f t="shared" si="39"/>
        <v>-331.64</v>
      </c>
    </row>
    <row r="265" spans="1:18">
      <c r="A265" t="s">
        <v>326</v>
      </c>
      <c r="B265" t="s">
        <v>327</v>
      </c>
      <c r="C265" t="s">
        <v>32</v>
      </c>
      <c r="D265" t="s">
        <v>27</v>
      </c>
      <c r="E265" t="s">
        <v>41</v>
      </c>
      <c r="F265" t="s">
        <v>15</v>
      </c>
      <c r="G265">
        <v>4</v>
      </c>
      <c r="H265">
        <v>14768.5</v>
      </c>
      <c r="I265">
        <v>2427.9899999999998</v>
      </c>
      <c r="J265" t="s">
        <v>29</v>
      </c>
      <c r="K265" t="str">
        <f t="shared" si="32"/>
        <v>East</v>
      </c>
      <c r="L265" t="str">
        <f t="shared" si="33"/>
        <v>Clothing</v>
      </c>
      <c r="M265" t="str">
        <f t="shared" si="34"/>
        <v>Sneakers</v>
      </c>
      <c r="N265" t="str">
        <f t="shared" si="35"/>
        <v>OK</v>
      </c>
      <c r="O265" t="str">
        <f t="shared" si="36"/>
        <v>New</v>
      </c>
      <c r="P265" t="str">
        <f t="shared" si="37"/>
        <v>Cash</v>
      </c>
      <c r="Q265">
        <f t="shared" si="38"/>
        <v>14768.5</v>
      </c>
      <c r="R265">
        <f t="shared" si="39"/>
        <v>2427.9899999999998</v>
      </c>
    </row>
    <row r="266" spans="1:18">
      <c r="A266" t="s">
        <v>372</v>
      </c>
      <c r="B266" t="s">
        <v>373</v>
      </c>
      <c r="C266" t="s">
        <v>32</v>
      </c>
      <c r="D266" t="s">
        <v>27</v>
      </c>
      <c r="E266" t="s">
        <v>41</v>
      </c>
      <c r="F266" t="s">
        <v>15</v>
      </c>
      <c r="G266">
        <v>4</v>
      </c>
      <c r="H266">
        <v>14681.26</v>
      </c>
      <c r="I266">
        <v>3553.89</v>
      </c>
      <c r="J266" t="s">
        <v>16</v>
      </c>
      <c r="K266" t="str">
        <f t="shared" si="32"/>
        <v>East</v>
      </c>
      <c r="L266" t="str">
        <f t="shared" si="33"/>
        <v>Clothing</v>
      </c>
      <c r="M266" t="str">
        <f t="shared" si="34"/>
        <v>Sneakers</v>
      </c>
      <c r="N266" t="str">
        <f t="shared" si="35"/>
        <v>OK</v>
      </c>
      <c r="O266" t="str">
        <f t="shared" si="36"/>
        <v>New</v>
      </c>
      <c r="P266" t="str">
        <f t="shared" si="37"/>
        <v>Net Banking</v>
      </c>
      <c r="Q266">
        <f t="shared" si="38"/>
        <v>14681.26</v>
      </c>
      <c r="R266">
        <f t="shared" si="39"/>
        <v>3553.89</v>
      </c>
    </row>
    <row r="267" spans="1:18">
      <c r="A267" t="s">
        <v>435</v>
      </c>
      <c r="B267" t="s">
        <v>285</v>
      </c>
      <c r="C267" t="s">
        <v>32</v>
      </c>
      <c r="D267" t="s">
        <v>27</v>
      </c>
      <c r="E267" t="s">
        <v>41</v>
      </c>
      <c r="F267" t="s">
        <v>15</v>
      </c>
      <c r="G267">
        <v>3</v>
      </c>
      <c r="H267">
        <v>10627.02</v>
      </c>
      <c r="I267">
        <v>2724.92</v>
      </c>
      <c r="J267" t="s">
        <v>16</v>
      </c>
      <c r="K267" t="str">
        <f t="shared" si="32"/>
        <v>East</v>
      </c>
      <c r="L267" t="str">
        <f t="shared" si="33"/>
        <v>Clothing</v>
      </c>
      <c r="M267" t="str">
        <f t="shared" si="34"/>
        <v>Sneakers</v>
      </c>
      <c r="N267" t="str">
        <f t="shared" si="35"/>
        <v>OK</v>
      </c>
      <c r="O267" t="str">
        <f t="shared" si="36"/>
        <v>New</v>
      </c>
      <c r="P267" t="str">
        <f t="shared" si="37"/>
        <v>Net Banking</v>
      </c>
      <c r="Q267">
        <f t="shared" si="38"/>
        <v>10627.02</v>
      </c>
      <c r="R267">
        <f t="shared" si="39"/>
        <v>2724.92</v>
      </c>
    </row>
    <row r="268" spans="1:18">
      <c r="A268" t="s">
        <v>319</v>
      </c>
      <c r="B268" t="s">
        <v>320</v>
      </c>
      <c r="C268" t="s">
        <v>12</v>
      </c>
      <c r="D268" t="s">
        <v>27</v>
      </c>
      <c r="E268" t="s">
        <v>41</v>
      </c>
      <c r="F268" t="s">
        <v>15</v>
      </c>
      <c r="G268">
        <v>4</v>
      </c>
      <c r="H268">
        <v>12705.3</v>
      </c>
      <c r="I268">
        <v>670.15</v>
      </c>
      <c r="J268" t="s">
        <v>16</v>
      </c>
      <c r="K268" t="str">
        <f t="shared" si="32"/>
        <v>North</v>
      </c>
      <c r="L268" t="str">
        <f t="shared" si="33"/>
        <v>Clothing</v>
      </c>
      <c r="M268" t="str">
        <f t="shared" si="34"/>
        <v>Sneakers</v>
      </c>
      <c r="N268" t="str">
        <f t="shared" si="35"/>
        <v>OK</v>
      </c>
      <c r="O268" t="str">
        <f t="shared" si="36"/>
        <v>New</v>
      </c>
      <c r="P268" t="str">
        <f t="shared" si="37"/>
        <v>Net Banking</v>
      </c>
      <c r="Q268">
        <f t="shared" si="38"/>
        <v>12705.3</v>
      </c>
      <c r="R268">
        <f t="shared" si="39"/>
        <v>670.15</v>
      </c>
    </row>
    <row r="269" spans="1:18">
      <c r="A269" t="s">
        <v>393</v>
      </c>
      <c r="B269" t="s">
        <v>394</v>
      </c>
      <c r="C269" t="s">
        <v>12</v>
      </c>
      <c r="D269" t="s">
        <v>27</v>
      </c>
      <c r="E269" t="s">
        <v>41</v>
      </c>
      <c r="F269" t="s">
        <v>15</v>
      </c>
      <c r="G269">
        <v>4</v>
      </c>
      <c r="H269">
        <v>14071.95</v>
      </c>
      <c r="I269">
        <v>2770.76</v>
      </c>
      <c r="J269" t="s">
        <v>29</v>
      </c>
      <c r="K269" t="str">
        <f t="shared" si="32"/>
        <v>North</v>
      </c>
      <c r="L269" t="str">
        <f t="shared" si="33"/>
        <v>Clothing</v>
      </c>
      <c r="M269" t="str">
        <f t="shared" si="34"/>
        <v>Sneakers</v>
      </c>
      <c r="N269" t="str">
        <f t="shared" si="35"/>
        <v>OK</v>
      </c>
      <c r="O269" t="str">
        <f t="shared" si="36"/>
        <v>New</v>
      </c>
      <c r="P269" t="str">
        <f t="shared" si="37"/>
        <v>Cash</v>
      </c>
      <c r="Q269">
        <f t="shared" si="38"/>
        <v>14071.95</v>
      </c>
      <c r="R269">
        <f t="shared" si="39"/>
        <v>2770.76</v>
      </c>
    </row>
    <row r="270" spans="1:18">
      <c r="A270" t="s">
        <v>490</v>
      </c>
      <c r="B270" t="s">
        <v>491</v>
      </c>
      <c r="C270" t="s">
        <v>12</v>
      </c>
      <c r="D270" t="s">
        <v>27</v>
      </c>
      <c r="E270" t="s">
        <v>41</v>
      </c>
      <c r="F270" t="s">
        <v>22</v>
      </c>
      <c r="G270">
        <v>1</v>
      </c>
      <c r="H270">
        <v>3543.77</v>
      </c>
      <c r="I270">
        <v>-1.21</v>
      </c>
      <c r="J270" t="s">
        <v>16</v>
      </c>
      <c r="K270" t="str">
        <f t="shared" si="32"/>
        <v>North</v>
      </c>
      <c r="L270" t="str">
        <f t="shared" si="33"/>
        <v>Clothing</v>
      </c>
      <c r="M270" t="str">
        <f t="shared" si="34"/>
        <v>Sneakers</v>
      </c>
      <c r="N270" t="str">
        <f t="shared" si="35"/>
        <v>OK</v>
      </c>
      <c r="O270" t="str">
        <f t="shared" si="36"/>
        <v>Existing</v>
      </c>
      <c r="P270" t="str">
        <f t="shared" si="37"/>
        <v>Net Banking</v>
      </c>
      <c r="Q270">
        <f t="shared" si="38"/>
        <v>3543.77</v>
      </c>
      <c r="R270">
        <f t="shared" si="39"/>
        <v>-1.21</v>
      </c>
    </row>
    <row r="271" spans="1:18">
      <c r="A271" t="s">
        <v>197</v>
      </c>
      <c r="B271" t="s">
        <v>198</v>
      </c>
      <c r="C271" t="s">
        <v>65</v>
      </c>
      <c r="D271" t="s">
        <v>27</v>
      </c>
      <c r="E271" t="s">
        <v>41</v>
      </c>
      <c r="F271" t="s">
        <v>22</v>
      </c>
      <c r="G271">
        <v>1</v>
      </c>
      <c r="H271">
        <v>3553.91</v>
      </c>
      <c r="I271">
        <v>593.94000000000005</v>
      </c>
      <c r="J271" t="s">
        <v>34</v>
      </c>
      <c r="K271" t="str">
        <f t="shared" si="32"/>
        <v>South</v>
      </c>
      <c r="L271" t="str">
        <f t="shared" si="33"/>
        <v>Clothing</v>
      </c>
      <c r="M271" t="str">
        <f t="shared" si="34"/>
        <v>Sneakers</v>
      </c>
      <c r="N271" t="str">
        <f t="shared" si="35"/>
        <v>OK</v>
      </c>
      <c r="O271" t="str">
        <f t="shared" si="36"/>
        <v>Existing</v>
      </c>
      <c r="P271" t="str">
        <f t="shared" si="37"/>
        <v>Upi</v>
      </c>
      <c r="Q271">
        <f t="shared" si="38"/>
        <v>3553.91</v>
      </c>
      <c r="R271">
        <f t="shared" si="39"/>
        <v>593.94000000000005</v>
      </c>
    </row>
    <row r="272" spans="1:18">
      <c r="A272" t="s">
        <v>464</v>
      </c>
      <c r="B272" t="s">
        <v>336</v>
      </c>
      <c r="C272" t="s">
        <v>19</v>
      </c>
      <c r="D272" t="s">
        <v>27</v>
      </c>
      <c r="E272" t="s">
        <v>41</v>
      </c>
      <c r="F272" t="s">
        <v>22</v>
      </c>
      <c r="G272">
        <v>4</v>
      </c>
      <c r="H272">
        <v>12824.7</v>
      </c>
      <c r="I272">
        <v>3425.37</v>
      </c>
      <c r="J272" t="s">
        <v>34</v>
      </c>
      <c r="K272" t="str">
        <f t="shared" si="32"/>
        <v>South</v>
      </c>
      <c r="L272" t="str">
        <f t="shared" si="33"/>
        <v>Clothing</v>
      </c>
      <c r="M272" t="str">
        <f t="shared" si="34"/>
        <v>Sneakers</v>
      </c>
      <c r="N272" t="str">
        <f t="shared" si="35"/>
        <v>OK</v>
      </c>
      <c r="O272" t="str">
        <f t="shared" si="36"/>
        <v>Existing</v>
      </c>
      <c r="P272" t="str">
        <f t="shared" si="37"/>
        <v>Upi</v>
      </c>
      <c r="Q272">
        <f t="shared" si="38"/>
        <v>12824.7</v>
      </c>
      <c r="R272">
        <f t="shared" si="39"/>
        <v>3425.37</v>
      </c>
    </row>
    <row r="273" spans="1:18">
      <c r="A273" t="s">
        <v>472</v>
      </c>
      <c r="B273" t="s">
        <v>473</v>
      </c>
      <c r="C273" t="s">
        <v>19</v>
      </c>
      <c r="D273" t="s">
        <v>27</v>
      </c>
      <c r="E273" t="s">
        <v>41</v>
      </c>
      <c r="F273" t="s">
        <v>22</v>
      </c>
      <c r="G273">
        <v>2</v>
      </c>
      <c r="H273">
        <v>7055.66</v>
      </c>
      <c r="I273">
        <v>1351.72</v>
      </c>
      <c r="J273" t="s">
        <v>23</v>
      </c>
      <c r="K273" t="str">
        <f t="shared" si="32"/>
        <v>South</v>
      </c>
      <c r="L273" t="str">
        <f t="shared" si="33"/>
        <v>Clothing</v>
      </c>
      <c r="M273" t="str">
        <f t="shared" si="34"/>
        <v>Sneakers</v>
      </c>
      <c r="N273" t="str">
        <f t="shared" si="35"/>
        <v>OK</v>
      </c>
      <c r="O273" t="str">
        <f t="shared" si="36"/>
        <v>Existing</v>
      </c>
      <c r="P273" t="str">
        <f t="shared" si="37"/>
        <v>Card</v>
      </c>
      <c r="Q273">
        <f t="shared" si="38"/>
        <v>7055.66</v>
      </c>
      <c r="R273">
        <f t="shared" si="39"/>
        <v>1351.72</v>
      </c>
    </row>
    <row r="274" spans="1:18">
      <c r="A274" t="s">
        <v>494</v>
      </c>
      <c r="B274" t="s">
        <v>134</v>
      </c>
      <c r="C274" t="s">
        <v>19</v>
      </c>
      <c r="D274" t="s">
        <v>27</v>
      </c>
      <c r="E274" t="s">
        <v>41</v>
      </c>
      <c r="F274" t="s">
        <v>22</v>
      </c>
      <c r="G274">
        <v>4</v>
      </c>
      <c r="H274">
        <v>13071.05</v>
      </c>
      <c r="I274">
        <v>2695.14</v>
      </c>
      <c r="J274" t="s">
        <v>23</v>
      </c>
      <c r="K274" t="str">
        <f t="shared" si="32"/>
        <v>South</v>
      </c>
      <c r="L274" t="str">
        <f t="shared" si="33"/>
        <v>Clothing</v>
      </c>
      <c r="M274" t="str">
        <f t="shared" si="34"/>
        <v>Sneakers</v>
      </c>
      <c r="N274" t="str">
        <f t="shared" si="35"/>
        <v>OK</v>
      </c>
      <c r="O274" t="str">
        <f t="shared" si="36"/>
        <v>Existing</v>
      </c>
      <c r="P274" t="str">
        <f t="shared" si="37"/>
        <v>Card</v>
      </c>
      <c r="Q274">
        <f t="shared" si="38"/>
        <v>13071.05</v>
      </c>
      <c r="R274">
        <f t="shared" si="39"/>
        <v>2695.14</v>
      </c>
    </row>
    <row r="275" spans="1:18">
      <c r="A275" t="s">
        <v>530</v>
      </c>
      <c r="B275" t="s">
        <v>531</v>
      </c>
      <c r="C275" t="s">
        <v>19</v>
      </c>
      <c r="D275" t="s">
        <v>27</v>
      </c>
      <c r="E275" t="s">
        <v>41</v>
      </c>
      <c r="F275" t="s">
        <v>22</v>
      </c>
      <c r="G275">
        <v>5</v>
      </c>
      <c r="H275">
        <v>16226.44</v>
      </c>
      <c r="I275">
        <v>575.05999999999995</v>
      </c>
      <c r="J275" t="s">
        <v>29</v>
      </c>
      <c r="K275" t="str">
        <f t="shared" si="32"/>
        <v>South</v>
      </c>
      <c r="L275" t="str">
        <f t="shared" si="33"/>
        <v>Clothing</v>
      </c>
      <c r="M275" t="str">
        <f t="shared" si="34"/>
        <v>Sneakers</v>
      </c>
      <c r="N275" t="str">
        <f t="shared" si="35"/>
        <v>OK</v>
      </c>
      <c r="O275" t="str">
        <f t="shared" si="36"/>
        <v>Existing</v>
      </c>
      <c r="P275" t="str">
        <f t="shared" si="37"/>
        <v>Cash</v>
      </c>
      <c r="Q275">
        <f t="shared" si="38"/>
        <v>16226.44</v>
      </c>
      <c r="R275">
        <f t="shared" si="39"/>
        <v>575.05999999999995</v>
      </c>
    </row>
    <row r="276" spans="1:18">
      <c r="A276" t="s">
        <v>533</v>
      </c>
      <c r="B276" t="s">
        <v>170</v>
      </c>
      <c r="C276" t="s">
        <v>19</v>
      </c>
      <c r="D276" t="s">
        <v>27</v>
      </c>
      <c r="E276" t="s">
        <v>41</v>
      </c>
      <c r="F276" t="s">
        <v>15</v>
      </c>
      <c r="G276">
        <v>3</v>
      </c>
      <c r="H276">
        <v>9689.16</v>
      </c>
      <c r="I276">
        <v>1191.6300000000001</v>
      </c>
      <c r="J276" t="s">
        <v>16</v>
      </c>
      <c r="K276" t="str">
        <f t="shared" si="32"/>
        <v>South</v>
      </c>
      <c r="L276" t="str">
        <f t="shared" si="33"/>
        <v>Clothing</v>
      </c>
      <c r="M276" t="str">
        <f t="shared" si="34"/>
        <v>Sneakers</v>
      </c>
      <c r="N276" t="str">
        <f t="shared" si="35"/>
        <v>OK</v>
      </c>
      <c r="O276" t="str">
        <f t="shared" si="36"/>
        <v>New</v>
      </c>
      <c r="P276" t="str">
        <f t="shared" si="37"/>
        <v>Net Banking</v>
      </c>
      <c r="Q276">
        <f t="shared" si="38"/>
        <v>9689.16</v>
      </c>
      <c r="R276">
        <f t="shared" si="39"/>
        <v>1191.6300000000001</v>
      </c>
    </row>
    <row r="277" spans="1:18">
      <c r="A277" t="s">
        <v>155</v>
      </c>
      <c r="B277" t="s">
        <v>156</v>
      </c>
      <c r="C277" t="s">
        <v>26</v>
      </c>
      <c r="D277" t="s">
        <v>27</v>
      </c>
      <c r="E277" t="s">
        <v>41</v>
      </c>
      <c r="F277" t="s">
        <v>15</v>
      </c>
      <c r="G277">
        <v>4</v>
      </c>
      <c r="H277">
        <v>12681.27</v>
      </c>
      <c r="I277">
        <v>520.02</v>
      </c>
      <c r="J277" t="s">
        <v>16</v>
      </c>
      <c r="K277" t="str">
        <f t="shared" si="32"/>
        <v>West</v>
      </c>
      <c r="L277" t="str">
        <f t="shared" si="33"/>
        <v>Clothing</v>
      </c>
      <c r="M277" t="str">
        <f t="shared" si="34"/>
        <v>Sneakers</v>
      </c>
      <c r="N277" t="str">
        <f t="shared" si="35"/>
        <v>OK</v>
      </c>
      <c r="O277" t="str">
        <f t="shared" si="36"/>
        <v>New</v>
      </c>
      <c r="P277" t="str">
        <f t="shared" si="37"/>
        <v>Net Banking</v>
      </c>
      <c r="Q277">
        <f t="shared" si="38"/>
        <v>12681.27</v>
      </c>
      <c r="R277">
        <f t="shared" si="39"/>
        <v>520.02</v>
      </c>
    </row>
    <row r="278" spans="1:18">
      <c r="A278" t="s">
        <v>195</v>
      </c>
      <c r="B278" t="s">
        <v>196</v>
      </c>
      <c r="C278" t="s">
        <v>26</v>
      </c>
      <c r="D278" t="s">
        <v>27</v>
      </c>
      <c r="E278" t="s">
        <v>41</v>
      </c>
      <c r="F278" t="s">
        <v>15</v>
      </c>
      <c r="G278">
        <v>4</v>
      </c>
      <c r="H278">
        <v>13553.98</v>
      </c>
      <c r="I278">
        <v>3626.76</v>
      </c>
      <c r="J278" t="s">
        <v>34</v>
      </c>
      <c r="K278" t="str">
        <f t="shared" si="32"/>
        <v>West</v>
      </c>
      <c r="L278" t="str">
        <f t="shared" si="33"/>
        <v>Clothing</v>
      </c>
      <c r="M278" t="str">
        <f t="shared" si="34"/>
        <v>Sneakers</v>
      </c>
      <c r="N278" t="str">
        <f t="shared" si="35"/>
        <v>OK</v>
      </c>
      <c r="O278" t="str">
        <f t="shared" si="36"/>
        <v>New</v>
      </c>
      <c r="P278" t="str">
        <f t="shared" si="37"/>
        <v>Upi</v>
      </c>
      <c r="Q278">
        <f t="shared" si="38"/>
        <v>13553.98</v>
      </c>
      <c r="R278">
        <f t="shared" si="39"/>
        <v>3626.76</v>
      </c>
    </row>
    <row r="279" spans="1:18">
      <c r="A279" t="s">
        <v>527</v>
      </c>
      <c r="B279" t="s">
        <v>528</v>
      </c>
      <c r="C279" t="s">
        <v>26</v>
      </c>
      <c r="D279" t="s">
        <v>27</v>
      </c>
      <c r="E279" t="s">
        <v>41</v>
      </c>
      <c r="F279" t="s">
        <v>15</v>
      </c>
      <c r="G279">
        <v>1</v>
      </c>
      <c r="H279">
        <v>3402.79</v>
      </c>
      <c r="I279">
        <v>884.45</v>
      </c>
      <c r="J279" t="s">
        <v>16</v>
      </c>
      <c r="K279" t="str">
        <f t="shared" si="32"/>
        <v>West</v>
      </c>
      <c r="L279" t="str">
        <f t="shared" si="33"/>
        <v>Clothing</v>
      </c>
      <c r="M279" t="str">
        <f t="shared" si="34"/>
        <v>Sneakers</v>
      </c>
      <c r="N279" t="str">
        <f t="shared" si="35"/>
        <v>OK</v>
      </c>
      <c r="O279" t="str">
        <f t="shared" si="36"/>
        <v>New</v>
      </c>
      <c r="P279" t="str">
        <f t="shared" si="37"/>
        <v>Net Banking</v>
      </c>
      <c r="Q279">
        <f t="shared" si="38"/>
        <v>3402.79</v>
      </c>
      <c r="R279">
        <f t="shared" si="39"/>
        <v>884.45</v>
      </c>
    </row>
    <row r="280" spans="1:18">
      <c r="A280" t="s">
        <v>60</v>
      </c>
      <c r="B280" t="s">
        <v>61</v>
      </c>
      <c r="C280" t="s">
        <v>32</v>
      </c>
      <c r="D280" t="s">
        <v>27</v>
      </c>
      <c r="E280" t="s">
        <v>51</v>
      </c>
      <c r="F280" t="s">
        <v>22</v>
      </c>
      <c r="G280">
        <v>5</v>
      </c>
      <c r="H280">
        <v>3817.45</v>
      </c>
      <c r="I280">
        <v>962.29</v>
      </c>
      <c r="J280" t="s">
        <v>34</v>
      </c>
      <c r="K280" t="str">
        <f t="shared" si="32"/>
        <v>East</v>
      </c>
      <c r="L280" t="str">
        <f t="shared" si="33"/>
        <v>Clothing</v>
      </c>
      <c r="M280" t="str">
        <f t="shared" si="34"/>
        <v>T-Shirt</v>
      </c>
      <c r="N280" t="str">
        <f t="shared" si="35"/>
        <v>OK</v>
      </c>
      <c r="O280" t="str">
        <f t="shared" si="36"/>
        <v>Existing</v>
      </c>
      <c r="P280" t="str">
        <f t="shared" si="37"/>
        <v>Upi</v>
      </c>
      <c r="Q280">
        <f t="shared" si="38"/>
        <v>3817.45</v>
      </c>
      <c r="R280">
        <f t="shared" si="39"/>
        <v>962.29</v>
      </c>
    </row>
    <row r="281" spans="1:18">
      <c r="A281" t="s">
        <v>120</v>
      </c>
      <c r="B281" t="s">
        <v>121</v>
      </c>
      <c r="C281" t="s">
        <v>32</v>
      </c>
      <c r="D281" t="s">
        <v>27</v>
      </c>
      <c r="E281" t="s">
        <v>51</v>
      </c>
      <c r="F281" t="s">
        <v>15</v>
      </c>
      <c r="G281">
        <v>2</v>
      </c>
      <c r="H281">
        <v>1266.6300000000001</v>
      </c>
      <c r="I281">
        <v>-13.27</v>
      </c>
      <c r="J281" t="s">
        <v>29</v>
      </c>
      <c r="K281" t="str">
        <f t="shared" si="32"/>
        <v>East</v>
      </c>
      <c r="L281" t="str">
        <f t="shared" si="33"/>
        <v>Clothing</v>
      </c>
      <c r="M281" t="str">
        <f t="shared" si="34"/>
        <v>T-Shirt</v>
      </c>
      <c r="N281" t="str">
        <f t="shared" si="35"/>
        <v>OK</v>
      </c>
      <c r="O281" t="str">
        <f t="shared" si="36"/>
        <v>New</v>
      </c>
      <c r="P281" t="str">
        <f t="shared" si="37"/>
        <v>Cash</v>
      </c>
      <c r="Q281">
        <f t="shared" si="38"/>
        <v>1266.6300000000001</v>
      </c>
      <c r="R281">
        <f t="shared" si="39"/>
        <v>-13.27</v>
      </c>
    </row>
    <row r="282" spans="1:18">
      <c r="A282" t="s">
        <v>389</v>
      </c>
      <c r="B282" t="s">
        <v>390</v>
      </c>
      <c r="C282" t="s">
        <v>32</v>
      </c>
      <c r="D282" t="s">
        <v>27</v>
      </c>
      <c r="E282" t="s">
        <v>51</v>
      </c>
      <c r="F282" t="s">
        <v>15</v>
      </c>
      <c r="G282">
        <v>4</v>
      </c>
      <c r="H282">
        <v>3078.47</v>
      </c>
      <c r="I282">
        <v>651.97</v>
      </c>
      <c r="J282" t="s">
        <v>29</v>
      </c>
      <c r="K282" t="str">
        <f t="shared" si="32"/>
        <v>East</v>
      </c>
      <c r="L282" t="str">
        <f t="shared" si="33"/>
        <v>Clothing</v>
      </c>
      <c r="M282" t="str">
        <f t="shared" si="34"/>
        <v>T-Shirt</v>
      </c>
      <c r="N282" t="str">
        <f t="shared" si="35"/>
        <v>OK</v>
      </c>
      <c r="O282" t="str">
        <f t="shared" si="36"/>
        <v>New</v>
      </c>
      <c r="P282" t="str">
        <f t="shared" si="37"/>
        <v>Cash</v>
      </c>
      <c r="Q282">
        <f t="shared" si="38"/>
        <v>3078.47</v>
      </c>
      <c r="R282">
        <f t="shared" si="39"/>
        <v>651.97</v>
      </c>
    </row>
    <row r="283" spans="1:18">
      <c r="A283" t="s">
        <v>405</v>
      </c>
      <c r="B283" t="s">
        <v>390</v>
      </c>
      <c r="C283" t="s">
        <v>32</v>
      </c>
      <c r="D283" t="s">
        <v>27</v>
      </c>
      <c r="E283" t="s">
        <v>51</v>
      </c>
      <c r="F283" t="s">
        <v>22</v>
      </c>
      <c r="G283">
        <v>3</v>
      </c>
      <c r="H283">
        <v>2144.8000000000002</v>
      </c>
      <c r="I283">
        <v>69.77</v>
      </c>
      <c r="J283" t="s">
        <v>23</v>
      </c>
      <c r="K283" t="str">
        <f t="shared" si="32"/>
        <v>East</v>
      </c>
      <c r="L283" t="str">
        <f t="shared" si="33"/>
        <v>Clothing</v>
      </c>
      <c r="M283" t="str">
        <f t="shared" si="34"/>
        <v>T-Shirt</v>
      </c>
      <c r="N283" t="str">
        <f t="shared" si="35"/>
        <v>OK</v>
      </c>
      <c r="O283" t="str">
        <f t="shared" si="36"/>
        <v>Existing</v>
      </c>
      <c r="P283" t="str">
        <f t="shared" si="37"/>
        <v>Card</v>
      </c>
      <c r="Q283">
        <f t="shared" si="38"/>
        <v>2144.8000000000002</v>
      </c>
      <c r="R283">
        <f t="shared" si="39"/>
        <v>69.77</v>
      </c>
    </row>
    <row r="284" spans="1:18">
      <c r="A284" t="s">
        <v>447</v>
      </c>
      <c r="B284" t="s">
        <v>265</v>
      </c>
      <c r="C284" t="s">
        <v>32</v>
      </c>
      <c r="D284" t="s">
        <v>27</v>
      </c>
      <c r="E284" t="s">
        <v>51</v>
      </c>
      <c r="F284" t="s">
        <v>15</v>
      </c>
      <c r="G284">
        <v>1</v>
      </c>
      <c r="H284">
        <v>676.3</v>
      </c>
      <c r="I284">
        <v>123.9</v>
      </c>
      <c r="J284" t="s">
        <v>34</v>
      </c>
      <c r="K284" t="str">
        <f t="shared" si="32"/>
        <v>East</v>
      </c>
      <c r="L284" t="str">
        <f t="shared" si="33"/>
        <v>Clothing</v>
      </c>
      <c r="M284" t="str">
        <f t="shared" si="34"/>
        <v>T-Shirt</v>
      </c>
      <c r="N284" t="str">
        <f t="shared" si="35"/>
        <v>OK</v>
      </c>
      <c r="O284" t="str">
        <f t="shared" si="36"/>
        <v>New</v>
      </c>
      <c r="P284" t="str">
        <f t="shared" si="37"/>
        <v>Upi</v>
      </c>
      <c r="Q284">
        <f t="shared" si="38"/>
        <v>676.3</v>
      </c>
      <c r="R284">
        <f t="shared" si="39"/>
        <v>123.9</v>
      </c>
    </row>
    <row r="285" spans="1:18">
      <c r="A285" t="s">
        <v>487</v>
      </c>
      <c r="B285" t="s">
        <v>248</v>
      </c>
      <c r="C285" t="s">
        <v>32</v>
      </c>
      <c r="D285" t="s">
        <v>27</v>
      </c>
      <c r="E285" t="s">
        <v>51</v>
      </c>
      <c r="F285" t="s">
        <v>22</v>
      </c>
      <c r="G285">
        <v>5</v>
      </c>
      <c r="H285">
        <v>3375.13</v>
      </c>
      <c r="I285">
        <v>73.92</v>
      </c>
      <c r="J285" t="s">
        <v>29</v>
      </c>
      <c r="K285" t="str">
        <f t="shared" si="32"/>
        <v>East</v>
      </c>
      <c r="L285" t="str">
        <f t="shared" si="33"/>
        <v>Clothing</v>
      </c>
      <c r="M285" t="str">
        <f t="shared" si="34"/>
        <v>T-Shirt</v>
      </c>
      <c r="N285" t="str">
        <f t="shared" si="35"/>
        <v>OK</v>
      </c>
      <c r="O285" t="str">
        <f t="shared" si="36"/>
        <v>Existing</v>
      </c>
      <c r="P285" t="str">
        <f t="shared" si="37"/>
        <v>Cash</v>
      </c>
      <c r="Q285">
        <f t="shared" si="38"/>
        <v>3375.13</v>
      </c>
      <c r="R285">
        <f t="shared" si="39"/>
        <v>73.92</v>
      </c>
    </row>
    <row r="286" spans="1:18">
      <c r="A286" t="s">
        <v>49</v>
      </c>
      <c r="B286" t="s">
        <v>50</v>
      </c>
      <c r="C286" t="s">
        <v>12</v>
      </c>
      <c r="D286" t="s">
        <v>27</v>
      </c>
      <c r="E286" t="s">
        <v>51</v>
      </c>
      <c r="F286" t="s">
        <v>15</v>
      </c>
      <c r="G286">
        <v>2</v>
      </c>
      <c r="H286">
        <v>1402.67</v>
      </c>
      <c r="I286">
        <v>-66.31</v>
      </c>
      <c r="J286" t="s">
        <v>23</v>
      </c>
      <c r="K286" t="str">
        <f t="shared" si="32"/>
        <v>North</v>
      </c>
      <c r="L286" t="str">
        <f t="shared" si="33"/>
        <v>Clothing</v>
      </c>
      <c r="M286" t="str">
        <f t="shared" si="34"/>
        <v>T-Shirt</v>
      </c>
      <c r="N286" t="str">
        <f t="shared" si="35"/>
        <v>OK</v>
      </c>
      <c r="O286" t="str">
        <f t="shared" si="36"/>
        <v>New</v>
      </c>
      <c r="P286" t="str">
        <f t="shared" si="37"/>
        <v>Card</v>
      </c>
      <c r="Q286">
        <f t="shared" si="38"/>
        <v>1402.67</v>
      </c>
      <c r="R286">
        <f t="shared" si="39"/>
        <v>-66.31</v>
      </c>
    </row>
    <row r="287" spans="1:18">
      <c r="A287" t="s">
        <v>133</v>
      </c>
      <c r="B287" t="s">
        <v>134</v>
      </c>
      <c r="C287" t="s">
        <v>12</v>
      </c>
      <c r="D287" t="s">
        <v>27</v>
      </c>
      <c r="E287" t="s">
        <v>51</v>
      </c>
      <c r="F287" t="s">
        <v>22</v>
      </c>
      <c r="G287">
        <v>5</v>
      </c>
      <c r="H287">
        <v>3481.23</v>
      </c>
      <c r="I287">
        <v>850.9</v>
      </c>
      <c r="J287" t="s">
        <v>29</v>
      </c>
      <c r="K287" t="str">
        <f t="shared" si="32"/>
        <v>North</v>
      </c>
      <c r="L287" t="str">
        <f t="shared" si="33"/>
        <v>Clothing</v>
      </c>
      <c r="M287" t="str">
        <f t="shared" si="34"/>
        <v>T-Shirt</v>
      </c>
      <c r="N287" t="str">
        <f t="shared" si="35"/>
        <v>OK</v>
      </c>
      <c r="O287" t="str">
        <f t="shared" si="36"/>
        <v>Existing</v>
      </c>
      <c r="P287" t="str">
        <f t="shared" si="37"/>
        <v>Cash</v>
      </c>
      <c r="Q287">
        <f t="shared" si="38"/>
        <v>3481.23</v>
      </c>
      <c r="R287">
        <f t="shared" si="39"/>
        <v>850.9</v>
      </c>
    </row>
    <row r="288" spans="1:18">
      <c r="A288" t="s">
        <v>451</v>
      </c>
      <c r="B288" t="s">
        <v>452</v>
      </c>
      <c r="C288" t="s">
        <v>12</v>
      </c>
      <c r="D288" t="s">
        <v>27</v>
      </c>
      <c r="E288" t="s">
        <v>51</v>
      </c>
      <c r="F288" t="s">
        <v>22</v>
      </c>
      <c r="G288">
        <v>4</v>
      </c>
      <c r="H288">
        <v>2942.1</v>
      </c>
      <c r="I288">
        <v>775.1</v>
      </c>
      <c r="J288" t="s">
        <v>29</v>
      </c>
      <c r="K288" t="str">
        <f t="shared" si="32"/>
        <v>North</v>
      </c>
      <c r="L288" t="str">
        <f t="shared" si="33"/>
        <v>Clothing</v>
      </c>
      <c r="M288" t="str">
        <f t="shared" si="34"/>
        <v>T-Shirt</v>
      </c>
      <c r="N288" t="str">
        <f t="shared" si="35"/>
        <v>OK</v>
      </c>
      <c r="O288" t="str">
        <f t="shared" si="36"/>
        <v>Existing</v>
      </c>
      <c r="P288" t="str">
        <f t="shared" si="37"/>
        <v>Cash</v>
      </c>
      <c r="Q288">
        <f t="shared" si="38"/>
        <v>2942.1</v>
      </c>
      <c r="R288">
        <f t="shared" si="39"/>
        <v>775.1</v>
      </c>
    </row>
    <row r="289" spans="1:18">
      <c r="A289" t="s">
        <v>469</v>
      </c>
      <c r="B289" t="s">
        <v>282</v>
      </c>
      <c r="C289" t="s">
        <v>12</v>
      </c>
      <c r="D289" t="s">
        <v>27</v>
      </c>
      <c r="E289" t="s">
        <v>51</v>
      </c>
      <c r="F289" t="s">
        <v>15</v>
      </c>
      <c r="G289">
        <v>1</v>
      </c>
      <c r="H289">
        <v>634.51</v>
      </c>
      <c r="I289">
        <v>100.04</v>
      </c>
      <c r="J289" t="s">
        <v>23</v>
      </c>
      <c r="K289" t="str">
        <f t="shared" si="32"/>
        <v>North</v>
      </c>
      <c r="L289" t="str">
        <f t="shared" si="33"/>
        <v>Clothing</v>
      </c>
      <c r="M289" t="str">
        <f t="shared" si="34"/>
        <v>T-Shirt</v>
      </c>
      <c r="N289" t="str">
        <f t="shared" si="35"/>
        <v>OK</v>
      </c>
      <c r="O289" t="str">
        <f t="shared" si="36"/>
        <v>New</v>
      </c>
      <c r="P289" t="str">
        <f t="shared" si="37"/>
        <v>Card</v>
      </c>
      <c r="Q289">
        <f t="shared" si="38"/>
        <v>634.51</v>
      </c>
      <c r="R289">
        <f t="shared" si="39"/>
        <v>100.04</v>
      </c>
    </row>
    <row r="290" spans="1:18">
      <c r="A290" t="s">
        <v>191</v>
      </c>
      <c r="B290" t="s">
        <v>192</v>
      </c>
      <c r="C290" t="s">
        <v>19</v>
      </c>
      <c r="D290" t="s">
        <v>27</v>
      </c>
      <c r="E290" t="s">
        <v>51</v>
      </c>
      <c r="F290" t="s">
        <v>22</v>
      </c>
      <c r="G290">
        <v>3</v>
      </c>
      <c r="H290">
        <v>1965.37</v>
      </c>
      <c r="I290">
        <v>-147.22</v>
      </c>
      <c r="J290" t="s">
        <v>34</v>
      </c>
      <c r="K290" t="str">
        <f t="shared" si="32"/>
        <v>South</v>
      </c>
      <c r="L290" t="str">
        <f t="shared" si="33"/>
        <v>Clothing</v>
      </c>
      <c r="M290" t="str">
        <f t="shared" si="34"/>
        <v>T-Shirt</v>
      </c>
      <c r="N290" t="str">
        <f t="shared" si="35"/>
        <v>OK</v>
      </c>
      <c r="O290" t="str">
        <f t="shared" si="36"/>
        <v>Existing</v>
      </c>
      <c r="P290" t="str">
        <f t="shared" si="37"/>
        <v>Upi</v>
      </c>
      <c r="Q290">
        <f t="shared" si="38"/>
        <v>1965.37</v>
      </c>
      <c r="R290">
        <f t="shared" si="39"/>
        <v>-147.22</v>
      </c>
    </row>
    <row r="291" spans="1:18">
      <c r="A291" t="s">
        <v>229</v>
      </c>
      <c r="B291" t="s">
        <v>230</v>
      </c>
      <c r="C291" t="s">
        <v>19</v>
      </c>
      <c r="D291" t="s">
        <v>27</v>
      </c>
      <c r="E291" t="s">
        <v>51</v>
      </c>
      <c r="F291" t="s">
        <v>15</v>
      </c>
      <c r="G291">
        <v>4</v>
      </c>
      <c r="H291">
        <v>2828.71</v>
      </c>
      <c r="I291">
        <v>164.32</v>
      </c>
      <c r="J291" t="s">
        <v>29</v>
      </c>
      <c r="K291" t="str">
        <f t="shared" si="32"/>
        <v>South</v>
      </c>
      <c r="L291" t="str">
        <f t="shared" si="33"/>
        <v>Clothing</v>
      </c>
      <c r="M291" t="str">
        <f t="shared" si="34"/>
        <v>T-Shirt</v>
      </c>
      <c r="N291" t="str">
        <f t="shared" si="35"/>
        <v>OK</v>
      </c>
      <c r="O291" t="str">
        <f t="shared" si="36"/>
        <v>New</v>
      </c>
      <c r="P291" t="str">
        <f t="shared" si="37"/>
        <v>Cash</v>
      </c>
      <c r="Q291">
        <f t="shared" si="38"/>
        <v>2828.71</v>
      </c>
      <c r="R291">
        <f t="shared" si="39"/>
        <v>164.32</v>
      </c>
    </row>
    <row r="292" spans="1:18">
      <c r="A292" t="s">
        <v>315</v>
      </c>
      <c r="B292" t="s">
        <v>204</v>
      </c>
      <c r="C292" t="s">
        <v>19</v>
      </c>
      <c r="D292" t="s">
        <v>27</v>
      </c>
      <c r="E292" t="s">
        <v>51</v>
      </c>
      <c r="F292" t="s">
        <v>15</v>
      </c>
      <c r="G292">
        <v>2</v>
      </c>
      <c r="H292">
        <v>1288.79</v>
      </c>
      <c r="I292">
        <v>15.66</v>
      </c>
      <c r="J292" t="s">
        <v>23</v>
      </c>
      <c r="K292" t="str">
        <f t="shared" si="32"/>
        <v>South</v>
      </c>
      <c r="L292" t="str">
        <f t="shared" si="33"/>
        <v>Clothing</v>
      </c>
      <c r="M292" t="str">
        <f t="shared" si="34"/>
        <v>T-Shirt</v>
      </c>
      <c r="N292" t="str">
        <f t="shared" si="35"/>
        <v>OK</v>
      </c>
      <c r="O292" t="str">
        <f t="shared" si="36"/>
        <v>New</v>
      </c>
      <c r="P292" t="str">
        <f t="shared" si="37"/>
        <v>Card</v>
      </c>
      <c r="Q292">
        <f t="shared" si="38"/>
        <v>1288.79</v>
      </c>
      <c r="R292">
        <f t="shared" si="39"/>
        <v>15.66</v>
      </c>
    </row>
    <row r="293" spans="1:18">
      <c r="A293" t="s">
        <v>391</v>
      </c>
      <c r="B293" t="s">
        <v>142</v>
      </c>
      <c r="C293" t="s">
        <v>19</v>
      </c>
      <c r="D293" t="s">
        <v>27</v>
      </c>
      <c r="E293" t="s">
        <v>51</v>
      </c>
      <c r="F293" t="s">
        <v>15</v>
      </c>
      <c r="G293">
        <v>2</v>
      </c>
      <c r="H293">
        <v>1482.23</v>
      </c>
      <c r="I293">
        <v>152.9</v>
      </c>
      <c r="J293" t="s">
        <v>23</v>
      </c>
      <c r="K293" t="str">
        <f t="shared" si="32"/>
        <v>South</v>
      </c>
      <c r="L293" t="str">
        <f t="shared" si="33"/>
        <v>Clothing</v>
      </c>
      <c r="M293" t="str">
        <f t="shared" si="34"/>
        <v>T-Shirt</v>
      </c>
      <c r="N293" t="str">
        <f t="shared" si="35"/>
        <v>OK</v>
      </c>
      <c r="O293" t="str">
        <f t="shared" si="36"/>
        <v>New</v>
      </c>
      <c r="P293" t="str">
        <f t="shared" si="37"/>
        <v>Card</v>
      </c>
      <c r="Q293">
        <f t="shared" si="38"/>
        <v>1482.23</v>
      </c>
      <c r="R293">
        <f t="shared" si="39"/>
        <v>152.9</v>
      </c>
    </row>
    <row r="294" spans="1:18">
      <c r="A294" t="s">
        <v>480</v>
      </c>
      <c r="B294" t="s">
        <v>127</v>
      </c>
      <c r="C294" t="s">
        <v>19</v>
      </c>
      <c r="D294" t="s">
        <v>27</v>
      </c>
      <c r="E294" t="s">
        <v>51</v>
      </c>
      <c r="F294" t="s">
        <v>22</v>
      </c>
      <c r="G294">
        <v>5</v>
      </c>
      <c r="H294">
        <v>3481.46</v>
      </c>
      <c r="I294">
        <v>785.98</v>
      </c>
      <c r="J294" t="s">
        <v>34</v>
      </c>
      <c r="K294" t="str">
        <f t="shared" si="32"/>
        <v>South</v>
      </c>
      <c r="L294" t="str">
        <f t="shared" si="33"/>
        <v>Clothing</v>
      </c>
      <c r="M294" t="str">
        <f t="shared" si="34"/>
        <v>T-Shirt</v>
      </c>
      <c r="N294" t="str">
        <f t="shared" si="35"/>
        <v>OK</v>
      </c>
      <c r="O294" t="str">
        <f t="shared" si="36"/>
        <v>Existing</v>
      </c>
      <c r="P294" t="str">
        <f t="shared" si="37"/>
        <v>Upi</v>
      </c>
      <c r="Q294">
        <f t="shared" si="38"/>
        <v>3481.46</v>
      </c>
      <c r="R294">
        <f t="shared" si="39"/>
        <v>785.98</v>
      </c>
    </row>
    <row r="295" spans="1:18">
      <c r="A295" t="s">
        <v>74</v>
      </c>
      <c r="B295" t="s">
        <v>75</v>
      </c>
      <c r="C295" t="s">
        <v>26</v>
      </c>
      <c r="D295" t="s">
        <v>27</v>
      </c>
      <c r="E295" t="s">
        <v>51</v>
      </c>
      <c r="F295" t="s">
        <v>22</v>
      </c>
      <c r="G295">
        <v>1</v>
      </c>
      <c r="H295">
        <v>643.57000000000005</v>
      </c>
      <c r="I295">
        <v>48.38</v>
      </c>
      <c r="J295" t="s">
        <v>34</v>
      </c>
      <c r="K295" t="str">
        <f t="shared" si="32"/>
        <v>West</v>
      </c>
      <c r="L295" t="str">
        <f t="shared" si="33"/>
        <v>Clothing</v>
      </c>
      <c r="M295" t="str">
        <f t="shared" si="34"/>
        <v>T-Shirt</v>
      </c>
      <c r="N295" t="str">
        <f t="shared" si="35"/>
        <v>OK</v>
      </c>
      <c r="O295" t="str">
        <f t="shared" si="36"/>
        <v>Existing</v>
      </c>
      <c r="P295" t="str">
        <f t="shared" si="37"/>
        <v>Upi</v>
      </c>
      <c r="Q295">
        <f t="shared" si="38"/>
        <v>643.57000000000005</v>
      </c>
      <c r="R295">
        <f t="shared" si="39"/>
        <v>48.38</v>
      </c>
    </row>
    <row r="296" spans="1:18">
      <c r="A296" t="s">
        <v>82</v>
      </c>
      <c r="B296" t="s">
        <v>83</v>
      </c>
      <c r="C296" t="s">
        <v>26</v>
      </c>
      <c r="D296" t="s">
        <v>27</v>
      </c>
      <c r="E296" t="s">
        <v>51</v>
      </c>
      <c r="F296" t="s">
        <v>22</v>
      </c>
      <c r="G296">
        <v>4</v>
      </c>
      <c r="H296">
        <v>3025.37</v>
      </c>
      <c r="I296">
        <v>-62.72</v>
      </c>
      <c r="J296" t="s">
        <v>16</v>
      </c>
      <c r="K296" t="str">
        <f t="shared" si="32"/>
        <v>West</v>
      </c>
      <c r="L296" t="str">
        <f t="shared" si="33"/>
        <v>Clothing</v>
      </c>
      <c r="M296" t="str">
        <f t="shared" si="34"/>
        <v>T-Shirt</v>
      </c>
      <c r="N296" t="str">
        <f t="shared" si="35"/>
        <v>OK</v>
      </c>
      <c r="O296" t="str">
        <f t="shared" si="36"/>
        <v>Existing</v>
      </c>
      <c r="P296" t="str">
        <f t="shared" si="37"/>
        <v>Net Banking</v>
      </c>
      <c r="Q296">
        <f t="shared" si="38"/>
        <v>3025.37</v>
      </c>
      <c r="R296">
        <f t="shared" si="39"/>
        <v>-62.72</v>
      </c>
    </row>
    <row r="297" spans="1:18">
      <c r="A297" t="s">
        <v>340</v>
      </c>
      <c r="B297" t="s">
        <v>238</v>
      </c>
      <c r="C297" t="s">
        <v>26</v>
      </c>
      <c r="D297" t="s">
        <v>27</v>
      </c>
      <c r="E297" t="s">
        <v>51</v>
      </c>
      <c r="F297" t="s">
        <v>22</v>
      </c>
      <c r="G297">
        <v>3</v>
      </c>
      <c r="H297">
        <v>2174.89</v>
      </c>
      <c r="I297">
        <v>272.62</v>
      </c>
      <c r="J297" t="s">
        <v>16</v>
      </c>
      <c r="K297" t="str">
        <f t="shared" si="32"/>
        <v>West</v>
      </c>
      <c r="L297" t="str">
        <f t="shared" si="33"/>
        <v>Clothing</v>
      </c>
      <c r="M297" t="str">
        <f t="shared" si="34"/>
        <v>T-Shirt</v>
      </c>
      <c r="N297" t="str">
        <f t="shared" si="35"/>
        <v>OK</v>
      </c>
      <c r="O297" t="str">
        <f t="shared" si="36"/>
        <v>Existing</v>
      </c>
      <c r="P297" t="str">
        <f t="shared" si="37"/>
        <v>Net Banking</v>
      </c>
      <c r="Q297">
        <f t="shared" si="38"/>
        <v>2174.89</v>
      </c>
      <c r="R297">
        <f t="shared" si="39"/>
        <v>272.62</v>
      </c>
    </row>
    <row r="298" spans="1:18">
      <c r="A298" t="s">
        <v>428</v>
      </c>
      <c r="B298" t="s">
        <v>429</v>
      </c>
      <c r="C298" t="s">
        <v>26</v>
      </c>
      <c r="D298" t="s">
        <v>27</v>
      </c>
      <c r="E298" t="s">
        <v>51</v>
      </c>
      <c r="F298" t="s">
        <v>15</v>
      </c>
      <c r="G298">
        <v>4</v>
      </c>
      <c r="H298">
        <v>2906.68</v>
      </c>
      <c r="I298">
        <v>196.89</v>
      </c>
      <c r="J298" t="s">
        <v>23</v>
      </c>
      <c r="K298" t="str">
        <f t="shared" si="32"/>
        <v>West</v>
      </c>
      <c r="L298" t="str">
        <f t="shared" si="33"/>
        <v>Clothing</v>
      </c>
      <c r="M298" t="str">
        <f t="shared" si="34"/>
        <v>T-Shirt</v>
      </c>
      <c r="N298" t="str">
        <f t="shared" si="35"/>
        <v>OK</v>
      </c>
      <c r="O298" t="str">
        <f t="shared" si="36"/>
        <v>New</v>
      </c>
      <c r="P298" t="str">
        <f t="shared" si="37"/>
        <v>Card</v>
      </c>
      <c r="Q298">
        <f t="shared" si="38"/>
        <v>2906.68</v>
      </c>
      <c r="R298">
        <f t="shared" si="39"/>
        <v>196.89</v>
      </c>
    </row>
    <row r="299" spans="1:18">
      <c r="A299" t="s">
        <v>463</v>
      </c>
      <c r="B299" t="s">
        <v>93</v>
      </c>
      <c r="C299" t="s">
        <v>26</v>
      </c>
      <c r="D299" t="s">
        <v>27</v>
      </c>
      <c r="E299" t="s">
        <v>51</v>
      </c>
      <c r="F299" t="s">
        <v>22</v>
      </c>
      <c r="G299">
        <v>2</v>
      </c>
      <c r="H299">
        <v>1474.43</v>
      </c>
      <c r="I299">
        <v>401.34</v>
      </c>
      <c r="J299" t="s">
        <v>16</v>
      </c>
      <c r="K299" t="str">
        <f t="shared" si="32"/>
        <v>West</v>
      </c>
      <c r="L299" t="str">
        <f t="shared" si="33"/>
        <v>Clothing</v>
      </c>
      <c r="M299" t="str">
        <f t="shared" si="34"/>
        <v>T-Shirt</v>
      </c>
      <c r="N299" t="str">
        <f t="shared" si="35"/>
        <v>OK</v>
      </c>
      <c r="O299" t="str">
        <f t="shared" si="36"/>
        <v>Existing</v>
      </c>
      <c r="P299" t="str">
        <f t="shared" si="37"/>
        <v>Net Banking</v>
      </c>
      <c r="Q299">
        <f t="shared" si="38"/>
        <v>1474.43</v>
      </c>
      <c r="R299">
        <f t="shared" si="39"/>
        <v>401.34</v>
      </c>
    </row>
    <row r="300" spans="1:18">
      <c r="A300" t="s">
        <v>492</v>
      </c>
      <c r="B300" t="s">
        <v>493</v>
      </c>
      <c r="C300" t="s">
        <v>26</v>
      </c>
      <c r="D300" t="s">
        <v>27</v>
      </c>
      <c r="E300" t="s">
        <v>51</v>
      </c>
      <c r="F300" t="s">
        <v>22</v>
      </c>
      <c r="G300">
        <v>2</v>
      </c>
      <c r="H300">
        <v>1352.36</v>
      </c>
      <c r="I300">
        <v>76.739999999999995</v>
      </c>
      <c r="J300" t="s">
        <v>29</v>
      </c>
      <c r="K300" t="str">
        <f t="shared" si="32"/>
        <v>West</v>
      </c>
      <c r="L300" t="str">
        <f t="shared" si="33"/>
        <v>Clothing</v>
      </c>
      <c r="M300" t="str">
        <f t="shared" si="34"/>
        <v>T-Shirt</v>
      </c>
      <c r="N300" t="str">
        <f t="shared" si="35"/>
        <v>OK</v>
      </c>
      <c r="O300" t="str">
        <f t="shared" si="36"/>
        <v>Existing</v>
      </c>
      <c r="P300" t="str">
        <f t="shared" si="37"/>
        <v>Cash</v>
      </c>
      <c r="Q300">
        <f t="shared" si="38"/>
        <v>1352.36</v>
      </c>
      <c r="R300">
        <f t="shared" si="39"/>
        <v>76.739999999999995</v>
      </c>
    </row>
    <row r="301" spans="1:18">
      <c r="A301" t="s">
        <v>516</v>
      </c>
      <c r="B301" t="s">
        <v>517</v>
      </c>
      <c r="C301" t="s">
        <v>26</v>
      </c>
      <c r="D301" t="s">
        <v>27</v>
      </c>
      <c r="E301" t="s">
        <v>51</v>
      </c>
      <c r="F301" t="s">
        <v>15</v>
      </c>
      <c r="G301">
        <v>3</v>
      </c>
      <c r="H301">
        <v>2122.2800000000002</v>
      </c>
      <c r="I301">
        <v>117.05</v>
      </c>
      <c r="J301" t="s">
        <v>29</v>
      </c>
      <c r="K301" t="str">
        <f t="shared" si="32"/>
        <v>West</v>
      </c>
      <c r="L301" t="str">
        <f t="shared" si="33"/>
        <v>Clothing</v>
      </c>
      <c r="M301" t="str">
        <f t="shared" si="34"/>
        <v>T-Shirt</v>
      </c>
      <c r="N301" t="str">
        <f t="shared" si="35"/>
        <v>OK</v>
      </c>
      <c r="O301" t="str">
        <f t="shared" si="36"/>
        <v>New</v>
      </c>
      <c r="P301" t="str">
        <f t="shared" si="37"/>
        <v>Cash</v>
      </c>
      <c r="Q301">
        <f t="shared" si="38"/>
        <v>2122.2800000000002</v>
      </c>
      <c r="R301">
        <f t="shared" si="39"/>
        <v>117.05</v>
      </c>
    </row>
  </sheetData>
  <autoFilter ref="A1:N30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E511-89A1-4B8B-9004-816DD68EF187}">
  <dimension ref="A1:K301"/>
  <sheetViews>
    <sheetView workbookViewId="0">
      <selection activeCell="D10" sqref="A2:K301"/>
    </sheetView>
  </sheetViews>
  <sheetFormatPr defaultRowHeight="15"/>
  <cols>
    <col min="1" max="1" width="10.5703125" customWidth="1"/>
    <col min="2" max="2" width="12.85546875" customWidth="1"/>
    <col min="3" max="3" width="9.28515625" customWidth="1"/>
    <col min="4" max="4" width="11" customWidth="1"/>
    <col min="5" max="5" width="11.140625" customWidth="1"/>
    <col min="6" max="6" width="16.42578125" customWidth="1"/>
    <col min="7" max="7" width="10.85546875" customWidth="1"/>
    <col min="10" max="10" width="16.7109375" customWidth="1"/>
    <col min="11" max="11" width="19.85546875" customWidth="1"/>
  </cols>
  <sheetData>
    <row r="1" spans="1:11">
      <c r="A1" t="s">
        <v>0</v>
      </c>
      <c r="B1" t="s">
        <v>1</v>
      </c>
      <c r="C1" t="s">
        <v>2</v>
      </c>
      <c r="D1" t="s">
        <v>3</v>
      </c>
      <c r="E1" t="s">
        <v>4</v>
      </c>
      <c r="F1" t="s">
        <v>5</v>
      </c>
      <c r="G1" t="s">
        <v>6</v>
      </c>
      <c r="H1" t="s">
        <v>7</v>
      </c>
      <c r="I1" t="s">
        <v>8</v>
      </c>
      <c r="J1" t="s">
        <v>9</v>
      </c>
      <c r="K1" t="s">
        <v>552</v>
      </c>
    </row>
    <row r="2" spans="1:11">
      <c r="A2" t="str">
        <f>Raw_Data!A2</f>
        <v>ORD-0001</v>
      </c>
      <c r="B2" t="s">
        <v>11</v>
      </c>
      <c r="C2" t="str">
        <f>PROPER(TRIM(Raw_Data!C2))</f>
        <v>North</v>
      </c>
      <c r="D2" t="str">
        <f>PROPER(TRIM(Raw_Data!D2))</f>
        <v>Home</v>
      </c>
      <c r="E2" t="str">
        <f>PROPER(TRIM(Raw_Data!E2))</f>
        <v>Blender</v>
      </c>
      <c r="F2" t="str">
        <f>IF(TRIM(Raw_Data!F2)="","Review",PROPER(TRIM(Raw_Data!F2)))</f>
        <v>New</v>
      </c>
      <c r="G2">
        <f>Raw_Data!G2</f>
        <v>1</v>
      </c>
      <c r="H2">
        <f>IF(Raw_Data!H2="","",Raw_Data!H2)</f>
        <v>3354.59</v>
      </c>
      <c r="I2">
        <f>IF(Raw_Data!I2="","",Raw_Data!I2)</f>
        <v>27.38</v>
      </c>
      <c r="J2" t="str">
        <f>IF(TRIM(Raw_Data!J2)="","Review",PROPER(TRIM(Raw_Data!J2)))</f>
        <v>Net Banking</v>
      </c>
      <c r="K2" t="str">
        <f>IF(OR(H2="",I2="",J2="Review",F2="Review"),"Review","OK")</f>
        <v>OK</v>
      </c>
    </row>
    <row r="3" spans="1:11">
      <c r="A3" t="str">
        <f>Raw_Data!A3</f>
        <v>ORD-0002</v>
      </c>
      <c r="B3" t="s">
        <v>18</v>
      </c>
      <c r="C3" t="str">
        <f>PROPER(TRIM(Raw_Data!C3))</f>
        <v>South</v>
      </c>
      <c r="D3" t="str">
        <f>PROPER(TRIM(Raw_Data!D3))</f>
        <v>Electronics</v>
      </c>
      <c r="E3" t="str">
        <f>PROPER(TRIM(Raw_Data!E3))</f>
        <v>Laptop</v>
      </c>
      <c r="F3" t="str">
        <f>IF(TRIM(Raw_Data!F3)="","Review",PROPER(TRIM(Raw_Data!F3)))</f>
        <v>Existing</v>
      </c>
      <c r="G3">
        <f>Raw_Data!G3</f>
        <v>1</v>
      </c>
      <c r="H3">
        <f>IF(Raw_Data!H3="","",Raw_Data!H3)</f>
        <v>49073.83</v>
      </c>
      <c r="I3">
        <f>IF(Raw_Data!I3="","",Raw_Data!I3)</f>
        <v>5001.99</v>
      </c>
      <c r="J3" t="str">
        <f>IF(TRIM(Raw_Data!J3)="","Review",PROPER(TRIM(Raw_Data!J3)))</f>
        <v>Card</v>
      </c>
      <c r="K3" t="str">
        <f t="shared" ref="K3:K66" si="0">IF(OR(H3="",I3="",J3="Review",F3="Review"),"Review","OK")</f>
        <v>OK</v>
      </c>
    </row>
    <row r="4" spans="1:11">
      <c r="A4" t="str">
        <f>Raw_Data!A4</f>
        <v>ORD-0003</v>
      </c>
      <c r="B4" t="s">
        <v>25</v>
      </c>
      <c r="C4" t="str">
        <f>PROPER(TRIM(Raw_Data!C4))</f>
        <v>West</v>
      </c>
      <c r="D4" t="str">
        <f>PROPER(TRIM(Raw_Data!D4))</f>
        <v>Clothing</v>
      </c>
      <c r="E4" t="str">
        <f>PROPER(TRIM(Raw_Data!E4))</f>
        <v>Dress</v>
      </c>
      <c r="F4" t="str">
        <f>IF(TRIM(Raw_Data!F4)="","Review",PROPER(TRIM(Raw_Data!F4)))</f>
        <v>Existing</v>
      </c>
      <c r="G4">
        <f>Raw_Data!G4</f>
        <v>3</v>
      </c>
      <c r="H4">
        <f>IF(Raw_Data!H4="","",Raw_Data!H4)</f>
        <v>6052.75</v>
      </c>
      <c r="I4">
        <f>IF(Raw_Data!I4="","",Raw_Data!I4)</f>
        <v>-470.06</v>
      </c>
      <c r="J4" t="str">
        <f>IF(TRIM(Raw_Data!J4)="","Review",PROPER(TRIM(Raw_Data!J4)))</f>
        <v>Cash</v>
      </c>
      <c r="K4" t="str">
        <f t="shared" si="0"/>
        <v>OK</v>
      </c>
    </row>
    <row r="5" spans="1:11">
      <c r="A5" t="str">
        <f>Raw_Data!A5</f>
        <v>ORD-0004</v>
      </c>
      <c r="B5" t="s">
        <v>31</v>
      </c>
      <c r="C5" t="str">
        <f>PROPER(TRIM(Raw_Data!C5))</f>
        <v>East</v>
      </c>
      <c r="D5" t="str">
        <f>PROPER(TRIM(Raw_Data!D5))</f>
        <v>Electronics</v>
      </c>
      <c r="E5" t="str">
        <f>PROPER(TRIM(Raw_Data!E5))</f>
        <v>Headphones</v>
      </c>
      <c r="F5" t="str">
        <f>IF(TRIM(Raw_Data!F5)="","Review",PROPER(TRIM(Raw_Data!F5)))</f>
        <v>Existing</v>
      </c>
      <c r="G5">
        <f>Raw_Data!G5</f>
        <v>3</v>
      </c>
      <c r="H5">
        <f>IF(Raw_Data!H5="","",Raw_Data!H5)</f>
        <v>6903.32</v>
      </c>
      <c r="I5">
        <f>IF(Raw_Data!I5="","",Raw_Data!I5)</f>
        <v>391.93</v>
      </c>
      <c r="J5" t="str">
        <f>IF(TRIM(Raw_Data!J5)="","Review",PROPER(TRIM(Raw_Data!J5)))</f>
        <v>Upi</v>
      </c>
      <c r="K5" t="str">
        <f t="shared" si="0"/>
        <v>OK</v>
      </c>
    </row>
    <row r="6" spans="1:11">
      <c r="A6" t="str">
        <f>Raw_Data!A6</f>
        <v>ORD-0005</v>
      </c>
      <c r="B6" t="s">
        <v>36</v>
      </c>
      <c r="C6" t="str">
        <f>PROPER(TRIM(Raw_Data!C6))</f>
        <v>East</v>
      </c>
      <c r="D6" t="str">
        <f>PROPER(TRIM(Raw_Data!D6))</f>
        <v>Home</v>
      </c>
      <c r="E6" t="str">
        <f>PROPER(TRIM(Raw_Data!E6))</f>
        <v>Cookware Set</v>
      </c>
      <c r="F6" t="str">
        <f>IF(TRIM(Raw_Data!F6)="","Review",PROPER(TRIM(Raw_Data!F6)))</f>
        <v>Existing</v>
      </c>
      <c r="G6">
        <f>Raw_Data!G6</f>
        <v>5</v>
      </c>
      <c r="H6">
        <f>IF(Raw_Data!H6="","",Raw_Data!H6)</f>
        <v>12949.51</v>
      </c>
      <c r="I6">
        <f>IF(Raw_Data!I6="","",Raw_Data!I6)</f>
        <v>3263.62</v>
      </c>
      <c r="J6" t="str">
        <f>IF(TRIM(Raw_Data!J6)="","Review",PROPER(TRIM(Raw_Data!J6)))</f>
        <v>Card</v>
      </c>
      <c r="K6" t="str">
        <f t="shared" si="0"/>
        <v>OK</v>
      </c>
    </row>
    <row r="7" spans="1:11">
      <c r="A7" t="str">
        <f>Raw_Data!A7</f>
        <v>ORD-0006</v>
      </c>
      <c r="B7" t="s">
        <v>36</v>
      </c>
      <c r="C7" t="str">
        <f>PROPER(TRIM(Raw_Data!C7))</f>
        <v>South</v>
      </c>
      <c r="D7" t="str">
        <f>PROPER(TRIM(Raw_Data!D7))</f>
        <v>Home</v>
      </c>
      <c r="E7" t="str">
        <f>PROPER(TRIM(Raw_Data!E7))</f>
        <v>Blender</v>
      </c>
      <c r="F7" t="str">
        <f>IF(TRIM(Raw_Data!F7)="","Review",PROPER(TRIM(Raw_Data!F7)))</f>
        <v>New</v>
      </c>
      <c r="G7">
        <f>Raw_Data!G7</f>
        <v>1</v>
      </c>
      <c r="H7">
        <f>IF(Raw_Data!H7="","",Raw_Data!H7)</f>
        <v>3303.21</v>
      </c>
      <c r="I7">
        <f>IF(Raw_Data!I7="","",Raw_Data!I7)</f>
        <v>655.04</v>
      </c>
      <c r="J7" t="str">
        <f>IF(TRIM(Raw_Data!J7)="","Review",PROPER(TRIM(Raw_Data!J7)))</f>
        <v>Net Banking</v>
      </c>
      <c r="K7" t="str">
        <f t="shared" si="0"/>
        <v>OK</v>
      </c>
    </row>
    <row r="8" spans="1:11">
      <c r="A8" t="str">
        <f>Raw_Data!A8</f>
        <v>ORD-0007</v>
      </c>
      <c r="B8" t="s">
        <v>40</v>
      </c>
      <c r="C8" t="str">
        <f>PROPER(TRIM(Raw_Data!C8))</f>
        <v>East</v>
      </c>
      <c r="D8" t="str">
        <f>PROPER(TRIM(Raw_Data!D8))</f>
        <v>Clothing</v>
      </c>
      <c r="E8" t="str">
        <f>PROPER(TRIM(Raw_Data!E8))</f>
        <v>Sneakers</v>
      </c>
      <c r="F8" t="str">
        <f>IF(TRIM(Raw_Data!F8)="","Review",PROPER(TRIM(Raw_Data!F8)))</f>
        <v>New</v>
      </c>
      <c r="G8">
        <f>Raw_Data!G8</f>
        <v>3</v>
      </c>
      <c r="H8">
        <f>IF(Raw_Data!H8="","",Raw_Data!H8)</f>
        <v>9791.57</v>
      </c>
      <c r="I8">
        <f>IF(Raw_Data!I8="","",Raw_Data!I8)</f>
        <v>468.99</v>
      </c>
      <c r="J8" t="str">
        <f>IF(TRIM(Raw_Data!J8)="","Review",PROPER(TRIM(Raw_Data!J8)))</f>
        <v>Card</v>
      </c>
      <c r="K8" t="str">
        <f t="shared" si="0"/>
        <v>OK</v>
      </c>
    </row>
    <row r="9" spans="1:11">
      <c r="A9" t="str">
        <f>Raw_Data!A9</f>
        <v>ORD-0008</v>
      </c>
      <c r="B9" t="s">
        <v>43</v>
      </c>
      <c r="C9" t="str">
        <f>PROPER(TRIM(Raw_Data!C9))</f>
        <v>South</v>
      </c>
      <c r="D9" t="str">
        <f>PROPER(TRIM(Raw_Data!D9))</f>
        <v>Home</v>
      </c>
      <c r="E9" t="str">
        <f>PROPER(TRIM(Raw_Data!E9))</f>
        <v>Desk Lamp</v>
      </c>
      <c r="F9" t="str">
        <f>IF(TRIM(Raw_Data!F9)="","Review",PROPER(TRIM(Raw_Data!F9)))</f>
        <v>Existing</v>
      </c>
      <c r="G9">
        <f>Raw_Data!G9</f>
        <v>2</v>
      </c>
      <c r="H9">
        <f>IF(Raw_Data!H9="","",Raw_Data!H9)</f>
        <v>1786.41</v>
      </c>
      <c r="I9">
        <f>IF(Raw_Data!I9="","",Raw_Data!I9)</f>
        <v>30.69</v>
      </c>
      <c r="J9" t="str">
        <f>IF(TRIM(Raw_Data!J9)="","Review",PROPER(TRIM(Raw_Data!J9)))</f>
        <v>Upi</v>
      </c>
      <c r="K9" t="str">
        <f t="shared" si="0"/>
        <v>OK</v>
      </c>
    </row>
    <row r="10" spans="1:11">
      <c r="A10" t="str">
        <f>Raw_Data!A10</f>
        <v>ORD-0009</v>
      </c>
      <c r="B10" t="s">
        <v>46</v>
      </c>
      <c r="C10" t="str">
        <f>PROPER(TRIM(Raw_Data!C10))</f>
        <v>East</v>
      </c>
      <c r="D10" t="str">
        <f>PROPER(TRIM(Raw_Data!D10))</f>
        <v>Electronics</v>
      </c>
      <c r="E10" t="str">
        <f>PROPER(TRIM(Raw_Data!E10))</f>
        <v>Laptop</v>
      </c>
      <c r="F10" t="str">
        <f>IF(TRIM(Raw_Data!F10)="","Review",PROPER(TRIM(Raw_Data!F10)))</f>
        <v>New</v>
      </c>
      <c r="G10">
        <f>Raw_Data!G10</f>
        <v>3</v>
      </c>
      <c r="H10">
        <f>IF(Raw_Data!H10="","",Raw_Data!H10)</f>
        <v>152916.34</v>
      </c>
      <c r="I10">
        <f>IF(Raw_Data!I10="","",Raw_Data!I10)</f>
        <v>-8589.6299999999992</v>
      </c>
      <c r="J10" t="str">
        <f>IF(TRIM(Raw_Data!J10)="","Review",PROPER(TRIM(Raw_Data!J10)))</f>
        <v>Net Banking</v>
      </c>
      <c r="K10" t="str">
        <f t="shared" si="0"/>
        <v>OK</v>
      </c>
    </row>
    <row r="11" spans="1:11">
      <c r="A11" t="str">
        <f>Raw_Data!A11</f>
        <v>ORD-0010</v>
      </c>
      <c r="B11" t="s">
        <v>48</v>
      </c>
      <c r="C11" t="str">
        <f>PROPER(TRIM(Raw_Data!C11))</f>
        <v>East</v>
      </c>
      <c r="D11" t="str">
        <f>PROPER(TRIM(Raw_Data!D11))</f>
        <v>Clothing</v>
      </c>
      <c r="E11" t="str">
        <f>PROPER(TRIM(Raw_Data!E11))</f>
        <v>Sneakers</v>
      </c>
      <c r="F11" t="str">
        <f>IF(TRIM(Raw_Data!F11)="","Review",PROPER(TRIM(Raw_Data!F11)))</f>
        <v>Existing</v>
      </c>
      <c r="G11">
        <f>Raw_Data!G11</f>
        <v>2</v>
      </c>
      <c r="H11">
        <f>IF(Raw_Data!H11="","",Raw_Data!H11)</f>
        <v>6670.83</v>
      </c>
      <c r="I11">
        <f>IF(Raw_Data!I11="","",Raw_Data!I11)</f>
        <v>58.61</v>
      </c>
      <c r="J11" t="str">
        <f>IF(TRIM(Raw_Data!J11)="","Review",PROPER(TRIM(Raw_Data!J11)))</f>
        <v>Net Banking</v>
      </c>
      <c r="K11" t="str">
        <f t="shared" si="0"/>
        <v>OK</v>
      </c>
    </row>
    <row r="12" spans="1:11">
      <c r="A12" t="str">
        <f>Raw_Data!A12</f>
        <v>ORD-0011</v>
      </c>
      <c r="B12" t="s">
        <v>50</v>
      </c>
      <c r="C12" t="str">
        <f>PROPER(TRIM(Raw_Data!C12))</f>
        <v>North</v>
      </c>
      <c r="D12" t="str">
        <f>PROPER(TRIM(Raw_Data!D12))</f>
        <v>Clothing</v>
      </c>
      <c r="E12" t="str">
        <f>PROPER(TRIM(Raw_Data!E12))</f>
        <v>T-Shirt</v>
      </c>
      <c r="F12" t="str">
        <f>IF(TRIM(Raw_Data!F12)="","Review",PROPER(TRIM(Raw_Data!F12)))</f>
        <v>New</v>
      </c>
      <c r="G12">
        <f>Raw_Data!G12</f>
        <v>2</v>
      </c>
      <c r="H12">
        <f>IF(Raw_Data!H12="","",Raw_Data!H12)</f>
        <v>1402.67</v>
      </c>
      <c r="I12">
        <f>IF(Raw_Data!I12="","",Raw_Data!I12)</f>
        <v>-66.31</v>
      </c>
      <c r="J12" t="str">
        <f>IF(TRIM(Raw_Data!J12)="","Review",PROPER(TRIM(Raw_Data!J12)))</f>
        <v>Card</v>
      </c>
      <c r="K12" t="str">
        <f t="shared" si="0"/>
        <v>OK</v>
      </c>
    </row>
    <row r="13" spans="1:11">
      <c r="A13" t="str">
        <f>Raw_Data!A13</f>
        <v>ORD-0012</v>
      </c>
      <c r="B13" t="s">
        <v>53</v>
      </c>
      <c r="C13" t="str">
        <f>PROPER(TRIM(Raw_Data!C13))</f>
        <v>East</v>
      </c>
      <c r="D13" t="str">
        <f>PROPER(TRIM(Raw_Data!D13))</f>
        <v>Home</v>
      </c>
      <c r="E13" t="str">
        <f>PROPER(TRIM(Raw_Data!E13))</f>
        <v>Cookware Set</v>
      </c>
      <c r="F13" t="str">
        <f>IF(TRIM(Raw_Data!F13)="","Review",PROPER(TRIM(Raw_Data!F13)))</f>
        <v>New</v>
      </c>
      <c r="G13">
        <f>Raw_Data!G13</f>
        <v>5</v>
      </c>
      <c r="H13">
        <f>IF(Raw_Data!H13="","",Raw_Data!H13)</f>
        <v>12777.88</v>
      </c>
      <c r="I13">
        <f>IF(Raw_Data!I13="","",Raw_Data!I13)</f>
        <v>733.23</v>
      </c>
      <c r="J13" t="str">
        <f>IF(TRIM(Raw_Data!J13)="","Review",PROPER(TRIM(Raw_Data!J13)))</f>
        <v>Upi</v>
      </c>
      <c r="K13" t="str">
        <f t="shared" si="0"/>
        <v>OK</v>
      </c>
    </row>
    <row r="14" spans="1:11">
      <c r="A14" t="str">
        <f>Raw_Data!A14</f>
        <v>ORD-0013</v>
      </c>
      <c r="B14" t="s">
        <v>55</v>
      </c>
      <c r="C14" t="str">
        <f>PROPER(TRIM(Raw_Data!C14))</f>
        <v>West</v>
      </c>
      <c r="D14" t="str">
        <f>PROPER(TRIM(Raw_Data!D14))</f>
        <v>Home</v>
      </c>
      <c r="E14" t="str">
        <f>PROPER(TRIM(Raw_Data!E14))</f>
        <v>Chair</v>
      </c>
      <c r="F14" t="str">
        <f>IF(TRIM(Raw_Data!F14)="","Review",PROPER(TRIM(Raw_Data!F14)))</f>
        <v>New</v>
      </c>
      <c r="G14">
        <f>Raw_Data!G14</f>
        <v>3</v>
      </c>
      <c r="H14">
        <f>IF(Raw_Data!H14="","",Raw_Data!H14)</f>
        <v>14225.22</v>
      </c>
      <c r="I14">
        <f>IF(Raw_Data!I14="","",Raw_Data!I14)</f>
        <v>604.04999999999995</v>
      </c>
      <c r="J14" t="str">
        <f>IF(TRIM(Raw_Data!J14)="","Review",PROPER(TRIM(Raw_Data!J14)))</f>
        <v>Net Banking</v>
      </c>
      <c r="K14" t="str">
        <f t="shared" si="0"/>
        <v>OK</v>
      </c>
    </row>
    <row r="15" spans="1:11">
      <c r="A15" t="str">
        <f>Raw_Data!A15</f>
        <v>ORD-0014</v>
      </c>
      <c r="B15" t="s">
        <v>58</v>
      </c>
      <c r="C15" t="str">
        <f>PROPER(TRIM(Raw_Data!C15))</f>
        <v>East</v>
      </c>
      <c r="D15" t="str">
        <f>PROPER(TRIM(Raw_Data!D15))</f>
        <v>Electronics</v>
      </c>
      <c r="E15" t="str">
        <f>PROPER(TRIM(Raw_Data!E15))</f>
        <v>Smartphone</v>
      </c>
      <c r="F15" t="str">
        <f>IF(TRIM(Raw_Data!F15)="","Review",PROPER(TRIM(Raw_Data!F15)))</f>
        <v>New</v>
      </c>
      <c r="G15">
        <f>Raw_Data!G15</f>
        <v>5</v>
      </c>
      <c r="H15">
        <f>IF(Raw_Data!H15="","",Raw_Data!H15)</f>
        <v>147334.94</v>
      </c>
      <c r="I15">
        <f>IF(Raw_Data!I15="","",Raw_Data!I15)</f>
        <v>15140.93</v>
      </c>
      <c r="J15" t="str">
        <f>IF(TRIM(Raw_Data!J15)="","Review",PROPER(TRIM(Raw_Data!J15)))</f>
        <v>Card</v>
      </c>
      <c r="K15" t="str">
        <f t="shared" si="0"/>
        <v>OK</v>
      </c>
    </row>
    <row r="16" spans="1:11">
      <c r="A16" t="str">
        <f>Raw_Data!A16</f>
        <v>ORD-0015</v>
      </c>
      <c r="B16" t="s">
        <v>61</v>
      </c>
      <c r="C16" t="str">
        <f>PROPER(TRIM(Raw_Data!C16))</f>
        <v>East</v>
      </c>
      <c r="D16" t="str">
        <f>PROPER(TRIM(Raw_Data!D16))</f>
        <v>Clothing</v>
      </c>
      <c r="E16" t="str">
        <f>PROPER(TRIM(Raw_Data!E16))</f>
        <v>T-Shirt</v>
      </c>
      <c r="F16" t="str">
        <f>IF(TRIM(Raw_Data!F16)="","Review",PROPER(TRIM(Raw_Data!F16)))</f>
        <v>Existing</v>
      </c>
      <c r="G16">
        <f>Raw_Data!G16</f>
        <v>5</v>
      </c>
      <c r="H16">
        <f>IF(Raw_Data!H16="","",Raw_Data!H16)</f>
        <v>3817.45</v>
      </c>
      <c r="I16">
        <f>IF(Raw_Data!I16="","",Raw_Data!I16)</f>
        <v>962.29</v>
      </c>
      <c r="J16" t="str">
        <f>IF(TRIM(Raw_Data!J16)="","Review",PROPER(TRIM(Raw_Data!J16)))</f>
        <v>Upi</v>
      </c>
      <c r="K16" t="str">
        <f t="shared" si="0"/>
        <v>OK</v>
      </c>
    </row>
    <row r="17" spans="1:11">
      <c r="A17" t="str">
        <f>Raw_Data!A17</f>
        <v>ORD-0016</v>
      </c>
      <c r="B17" t="s">
        <v>46</v>
      </c>
      <c r="C17" t="str">
        <f>PROPER(TRIM(Raw_Data!C17))</f>
        <v>North</v>
      </c>
      <c r="D17" t="str">
        <f>PROPER(TRIM(Raw_Data!D17))</f>
        <v>Electronics</v>
      </c>
      <c r="E17" t="str">
        <f>PROPER(TRIM(Raw_Data!E17))</f>
        <v>Smartphone</v>
      </c>
      <c r="F17" t="str">
        <f>IF(TRIM(Raw_Data!F17)="","Review",PROPER(TRIM(Raw_Data!F17)))</f>
        <v>New</v>
      </c>
      <c r="G17">
        <f>Raw_Data!G17</f>
        <v>3</v>
      </c>
      <c r="H17">
        <f>IF(Raw_Data!H17="","",Raw_Data!H17)</f>
        <v>79622.8</v>
      </c>
      <c r="I17">
        <f>IF(Raw_Data!I17="","",Raw_Data!I17)</f>
        <v>534.57000000000005</v>
      </c>
      <c r="J17" t="str">
        <f>IF(TRIM(Raw_Data!J17)="","Review",PROPER(TRIM(Raw_Data!J17)))</f>
        <v>Net Banking</v>
      </c>
      <c r="K17" t="str">
        <f t="shared" si="0"/>
        <v>OK</v>
      </c>
    </row>
    <row r="18" spans="1:11">
      <c r="A18" t="str">
        <f>Raw_Data!A18</f>
        <v>ORD-0017</v>
      </c>
      <c r="B18" t="s">
        <v>64</v>
      </c>
      <c r="C18" t="str">
        <f>PROPER(TRIM(Raw_Data!C18))</f>
        <v>South</v>
      </c>
      <c r="D18" t="str">
        <f>PROPER(TRIM(Raw_Data!D18))</f>
        <v>Electronics</v>
      </c>
      <c r="E18" t="str">
        <f>PROPER(TRIM(Raw_Data!E18))</f>
        <v>Monitor</v>
      </c>
      <c r="F18" t="str">
        <f>IF(TRIM(Raw_Data!F18)="","Review",PROPER(TRIM(Raw_Data!F18)))</f>
        <v>Existing</v>
      </c>
      <c r="G18">
        <f>Raw_Data!G18</f>
        <v>2</v>
      </c>
      <c r="H18">
        <f>IF(Raw_Data!H18="","",Raw_Data!H18)</f>
        <v>22216.28</v>
      </c>
      <c r="I18">
        <f>IF(Raw_Data!I18="","",Raw_Data!I18)</f>
        <v>2023.94</v>
      </c>
      <c r="J18" t="str">
        <f>IF(TRIM(Raw_Data!J18)="","Review",PROPER(TRIM(Raw_Data!J18)))</f>
        <v>Net Banking</v>
      </c>
      <c r="K18" t="str">
        <f t="shared" si="0"/>
        <v>OK</v>
      </c>
    </row>
    <row r="19" spans="1:11">
      <c r="A19" t="str">
        <f>Raw_Data!A19</f>
        <v>ORD-0018</v>
      </c>
      <c r="B19" t="s">
        <v>40</v>
      </c>
      <c r="C19" t="str">
        <f>PROPER(TRIM(Raw_Data!C19))</f>
        <v>East</v>
      </c>
      <c r="D19" t="str">
        <f>PROPER(TRIM(Raw_Data!D19))</f>
        <v>Electronics</v>
      </c>
      <c r="E19" t="str">
        <f>PROPER(TRIM(Raw_Data!E19))</f>
        <v>Monitor</v>
      </c>
      <c r="F19" t="str">
        <f>IF(TRIM(Raw_Data!F19)="","Review",PROPER(TRIM(Raw_Data!F19)))</f>
        <v>Existing</v>
      </c>
      <c r="G19">
        <f>Raw_Data!G19</f>
        <v>2</v>
      </c>
      <c r="H19">
        <f>IF(Raw_Data!H19="","",Raw_Data!H19)</f>
        <v>25022.16</v>
      </c>
      <c r="I19">
        <f>IF(Raw_Data!I19="","",Raw_Data!I19)</f>
        <v>1592.34</v>
      </c>
      <c r="J19" t="str">
        <f>IF(TRIM(Raw_Data!J19)="","Review",PROPER(TRIM(Raw_Data!J19)))</f>
        <v>Net Banking</v>
      </c>
      <c r="K19" t="str">
        <f t="shared" si="0"/>
        <v>OK</v>
      </c>
    </row>
    <row r="20" spans="1:11">
      <c r="A20" t="str">
        <f>Raw_Data!A20</f>
        <v>ORD-0019</v>
      </c>
      <c r="B20" t="s">
        <v>69</v>
      </c>
      <c r="C20" t="str">
        <f>PROPER(TRIM(Raw_Data!C20))</f>
        <v>South</v>
      </c>
      <c r="D20" t="str">
        <f>PROPER(TRIM(Raw_Data!D20))</f>
        <v>Electronics</v>
      </c>
      <c r="E20" t="str">
        <f>PROPER(TRIM(Raw_Data!E20))</f>
        <v>Headphones</v>
      </c>
      <c r="F20" t="str">
        <f>IF(TRIM(Raw_Data!F20)="","Review",PROPER(TRIM(Raw_Data!F20)))</f>
        <v>New</v>
      </c>
      <c r="G20">
        <f>Raw_Data!G20</f>
        <v>2</v>
      </c>
      <c r="H20">
        <f>IF(Raw_Data!H20="","",Raw_Data!H20)</f>
        <v>4564.03</v>
      </c>
      <c r="I20">
        <f>IF(Raw_Data!I20="","",Raw_Data!I20)</f>
        <v>-330.56</v>
      </c>
      <c r="J20" t="str">
        <f>IF(TRIM(Raw_Data!J20)="","Review",PROPER(TRIM(Raw_Data!J20)))</f>
        <v>Upi</v>
      </c>
      <c r="K20" t="str">
        <f t="shared" si="0"/>
        <v>OK</v>
      </c>
    </row>
    <row r="21" spans="1:11">
      <c r="A21" t="str">
        <f>Raw_Data!A21</f>
        <v>ORD-0020</v>
      </c>
      <c r="B21" t="s">
        <v>71</v>
      </c>
      <c r="C21" t="str">
        <f>PROPER(TRIM(Raw_Data!C21))</f>
        <v>North</v>
      </c>
      <c r="D21" t="str">
        <f>PROPER(TRIM(Raw_Data!D21))</f>
        <v>Electronics</v>
      </c>
      <c r="E21" t="str">
        <f>PROPER(TRIM(Raw_Data!E21))</f>
        <v>Laptop</v>
      </c>
      <c r="F21" t="str">
        <f>IF(TRIM(Raw_Data!F21)="","Review",PROPER(TRIM(Raw_Data!F21)))</f>
        <v>New</v>
      </c>
      <c r="G21">
        <f>Raw_Data!G21</f>
        <v>2</v>
      </c>
      <c r="H21">
        <f>IF(Raw_Data!H21="","",Raw_Data!H21)</f>
        <v>95001.93</v>
      </c>
      <c r="I21">
        <f>IF(Raw_Data!I21="","",Raw_Data!I21)</f>
        <v>-6525.81</v>
      </c>
      <c r="J21" t="str">
        <f>IF(TRIM(Raw_Data!J21)="","Review",PROPER(TRIM(Raw_Data!J21)))</f>
        <v>Cash</v>
      </c>
      <c r="K21" t="str">
        <f t="shared" si="0"/>
        <v>OK</v>
      </c>
    </row>
    <row r="22" spans="1:11">
      <c r="A22" t="str">
        <f>Raw_Data!A22</f>
        <v>ORD-0021</v>
      </c>
      <c r="B22" t="s">
        <v>73</v>
      </c>
      <c r="C22" t="str">
        <f>PROPER(TRIM(Raw_Data!C22))</f>
        <v>West</v>
      </c>
      <c r="D22" t="str">
        <f>PROPER(TRIM(Raw_Data!D22))</f>
        <v>Home</v>
      </c>
      <c r="E22" t="str">
        <f>PROPER(TRIM(Raw_Data!E22))</f>
        <v>Cookware Set</v>
      </c>
      <c r="F22" t="str">
        <f>IF(TRIM(Raw_Data!F22)="","Review",PROPER(TRIM(Raw_Data!F22)))</f>
        <v>New</v>
      </c>
      <c r="G22">
        <f>Raw_Data!G22</f>
        <v>2</v>
      </c>
      <c r="H22">
        <f>IF(Raw_Data!H22="","",Raw_Data!H22)</f>
        <v>5643.94</v>
      </c>
      <c r="I22">
        <f>IF(Raw_Data!I22="","",Raw_Data!I22)</f>
        <v>1018.21</v>
      </c>
      <c r="J22" t="str">
        <f>IF(TRIM(Raw_Data!J22)="","Review",PROPER(TRIM(Raw_Data!J22)))</f>
        <v>Net Banking</v>
      </c>
      <c r="K22" t="str">
        <f t="shared" si="0"/>
        <v>OK</v>
      </c>
    </row>
    <row r="23" spans="1:11">
      <c r="A23" t="str">
        <f>Raw_Data!A23</f>
        <v>ORD-0022</v>
      </c>
      <c r="B23" t="s">
        <v>75</v>
      </c>
      <c r="C23" t="str">
        <f>PROPER(TRIM(Raw_Data!C23))</f>
        <v>West</v>
      </c>
      <c r="D23" t="str">
        <f>PROPER(TRIM(Raw_Data!D23))</f>
        <v>Clothing</v>
      </c>
      <c r="E23" t="str">
        <f>PROPER(TRIM(Raw_Data!E23))</f>
        <v>T-Shirt</v>
      </c>
      <c r="F23" t="str">
        <f>IF(TRIM(Raw_Data!F23)="","Review",PROPER(TRIM(Raw_Data!F23)))</f>
        <v>Existing</v>
      </c>
      <c r="G23">
        <f>Raw_Data!G23</f>
        <v>1</v>
      </c>
      <c r="H23">
        <f>IF(Raw_Data!H23="","",Raw_Data!H23)</f>
        <v>643.57000000000005</v>
      </c>
      <c r="I23">
        <f>IF(Raw_Data!I23="","",Raw_Data!I23)</f>
        <v>48.38</v>
      </c>
      <c r="J23" t="str">
        <f>IF(TRIM(Raw_Data!J23)="","Review",PROPER(TRIM(Raw_Data!J23)))</f>
        <v>Upi</v>
      </c>
      <c r="K23" t="str">
        <f t="shared" si="0"/>
        <v>OK</v>
      </c>
    </row>
    <row r="24" spans="1:11">
      <c r="A24" t="str">
        <f>Raw_Data!A24</f>
        <v>ORD-0023</v>
      </c>
      <c r="B24" t="s">
        <v>77</v>
      </c>
      <c r="C24" t="str">
        <f>PROPER(TRIM(Raw_Data!C24))</f>
        <v>South</v>
      </c>
      <c r="D24" t="str">
        <f>PROPER(TRIM(Raw_Data!D24))</f>
        <v>Home</v>
      </c>
      <c r="E24" t="str">
        <f>PROPER(TRIM(Raw_Data!E24))</f>
        <v>Blender</v>
      </c>
      <c r="F24" t="str">
        <f>IF(TRIM(Raw_Data!F24)="","Review",PROPER(TRIM(Raw_Data!F24)))</f>
        <v>New</v>
      </c>
      <c r="G24">
        <f>Raw_Data!G24</f>
        <v>1</v>
      </c>
      <c r="H24">
        <f>IF(Raw_Data!H24="","",Raw_Data!H24)</f>
        <v>3137.68</v>
      </c>
      <c r="I24">
        <f>IF(Raw_Data!I24="","",Raw_Data!I24)</f>
        <v>132.25</v>
      </c>
      <c r="J24" t="str">
        <f>IF(TRIM(Raw_Data!J24)="","Review",PROPER(TRIM(Raw_Data!J24)))</f>
        <v>Card</v>
      </c>
      <c r="K24" t="str">
        <f t="shared" si="0"/>
        <v>OK</v>
      </c>
    </row>
    <row r="25" spans="1:11">
      <c r="A25" t="str">
        <f>Raw_Data!A25</f>
        <v>ORD-0024</v>
      </c>
      <c r="B25" t="s">
        <v>79</v>
      </c>
      <c r="C25" t="str">
        <f>PROPER(TRIM(Raw_Data!C25))</f>
        <v>North</v>
      </c>
      <c r="D25" t="str">
        <f>PROPER(TRIM(Raw_Data!D25))</f>
        <v>Home</v>
      </c>
      <c r="E25" t="str">
        <f>PROPER(TRIM(Raw_Data!E25))</f>
        <v>Cookware Set</v>
      </c>
      <c r="F25" t="str">
        <f>IF(TRIM(Raw_Data!F25)="","Review",PROPER(TRIM(Raw_Data!F25)))</f>
        <v>Existing</v>
      </c>
      <c r="G25">
        <f>Raw_Data!G25</f>
        <v>2</v>
      </c>
      <c r="H25">
        <f>IF(Raw_Data!H25="","",Raw_Data!H25)</f>
        <v>5512.51</v>
      </c>
      <c r="I25">
        <f>IF(Raw_Data!I25="","",Raw_Data!I25)</f>
        <v>111.77</v>
      </c>
      <c r="J25" t="str">
        <f>IF(TRIM(Raw_Data!J25)="","Review",PROPER(TRIM(Raw_Data!J25)))</f>
        <v>Upi</v>
      </c>
      <c r="K25" t="str">
        <f t="shared" si="0"/>
        <v>OK</v>
      </c>
    </row>
    <row r="26" spans="1:11">
      <c r="A26" t="str">
        <f>Raw_Data!A26</f>
        <v>ORD-0025</v>
      </c>
      <c r="B26" t="s">
        <v>81</v>
      </c>
      <c r="C26" t="str">
        <f>PROPER(TRIM(Raw_Data!C26))</f>
        <v>South</v>
      </c>
      <c r="D26" t="str">
        <f>PROPER(TRIM(Raw_Data!D26))</f>
        <v>Electronics</v>
      </c>
      <c r="E26" t="str">
        <f>PROPER(TRIM(Raw_Data!E26))</f>
        <v>Monitor</v>
      </c>
      <c r="F26" t="str">
        <f>IF(TRIM(Raw_Data!F26)="","Review",PROPER(TRIM(Raw_Data!F26)))</f>
        <v>Existing</v>
      </c>
      <c r="G26">
        <f>Raw_Data!G26</f>
        <v>1</v>
      </c>
      <c r="H26">
        <f>IF(Raw_Data!H26="","",Raw_Data!H26)</f>
        <v>13125.59</v>
      </c>
      <c r="I26">
        <f>IF(Raw_Data!I26="","",Raw_Data!I26)</f>
        <v>3327.23</v>
      </c>
      <c r="J26" t="str">
        <f>IF(TRIM(Raw_Data!J26)="","Review",PROPER(TRIM(Raw_Data!J26)))</f>
        <v>Net Banking</v>
      </c>
      <c r="K26" t="str">
        <f t="shared" si="0"/>
        <v>OK</v>
      </c>
    </row>
    <row r="27" spans="1:11">
      <c r="A27" t="str">
        <f>Raw_Data!A27</f>
        <v>ORD-0026</v>
      </c>
      <c r="B27" t="s">
        <v>83</v>
      </c>
      <c r="C27" t="str">
        <f>PROPER(TRIM(Raw_Data!C27))</f>
        <v>West</v>
      </c>
      <c r="D27" t="str">
        <f>PROPER(TRIM(Raw_Data!D27))</f>
        <v>Clothing</v>
      </c>
      <c r="E27" t="str">
        <f>PROPER(TRIM(Raw_Data!E27))</f>
        <v>T-Shirt</v>
      </c>
      <c r="F27" t="str">
        <f>IF(TRIM(Raw_Data!F27)="","Review",PROPER(TRIM(Raw_Data!F27)))</f>
        <v>Existing</v>
      </c>
      <c r="G27">
        <f>Raw_Data!G27</f>
        <v>4</v>
      </c>
      <c r="H27">
        <f>IF(Raw_Data!H27="","",Raw_Data!H27)</f>
        <v>3025.37</v>
      </c>
      <c r="I27">
        <f>IF(Raw_Data!I27="","",Raw_Data!I27)</f>
        <v>-62.72</v>
      </c>
      <c r="J27" t="str">
        <f>IF(TRIM(Raw_Data!J27)="","Review",PROPER(TRIM(Raw_Data!J27)))</f>
        <v>Net Banking</v>
      </c>
      <c r="K27" t="str">
        <f t="shared" si="0"/>
        <v>OK</v>
      </c>
    </row>
    <row r="28" spans="1:11">
      <c r="A28" t="str">
        <f>Raw_Data!A28</f>
        <v>ORD-0027</v>
      </c>
      <c r="B28" t="s">
        <v>85</v>
      </c>
      <c r="C28" t="str">
        <f>PROPER(TRIM(Raw_Data!C28))</f>
        <v>East</v>
      </c>
      <c r="D28" t="str">
        <f>PROPER(TRIM(Raw_Data!D28))</f>
        <v>Clothing</v>
      </c>
      <c r="E28" t="str">
        <f>PROPER(TRIM(Raw_Data!E28))</f>
        <v>Sneakers</v>
      </c>
      <c r="F28" t="str">
        <f>IF(TRIM(Raw_Data!F28)="","Review",PROPER(TRIM(Raw_Data!F28)))</f>
        <v>New</v>
      </c>
      <c r="G28">
        <f>Raw_Data!G28</f>
        <v>5</v>
      </c>
      <c r="H28">
        <f>IF(Raw_Data!H28="","",Raw_Data!H28)</f>
        <v>18066.55</v>
      </c>
      <c r="I28">
        <f>IF(Raw_Data!I28="","",Raw_Data!I28)</f>
        <v>1719.97</v>
      </c>
      <c r="J28" t="str">
        <f>IF(TRIM(Raw_Data!J28)="","Review",PROPER(TRIM(Raw_Data!J28)))</f>
        <v>Upi</v>
      </c>
      <c r="K28" t="str">
        <f t="shared" si="0"/>
        <v>OK</v>
      </c>
    </row>
    <row r="29" spans="1:11">
      <c r="A29" t="str">
        <f>Raw_Data!A29</f>
        <v>ORD-0028</v>
      </c>
      <c r="B29" t="s">
        <v>87</v>
      </c>
      <c r="C29" t="str">
        <f>PROPER(TRIM(Raw_Data!C29))</f>
        <v>West</v>
      </c>
      <c r="D29" t="str">
        <f>PROPER(TRIM(Raw_Data!D29))</f>
        <v>Home</v>
      </c>
      <c r="E29" t="str">
        <f>PROPER(TRIM(Raw_Data!E29))</f>
        <v>Chair</v>
      </c>
      <c r="F29" t="str">
        <f>IF(TRIM(Raw_Data!F29)="","Review",PROPER(TRIM(Raw_Data!F29)))</f>
        <v>New</v>
      </c>
      <c r="G29">
        <f>Raw_Data!G29</f>
        <v>1</v>
      </c>
      <c r="H29">
        <f>IF(Raw_Data!H29="","",Raw_Data!H29)</f>
        <v>4723.18</v>
      </c>
      <c r="I29">
        <f>IF(Raw_Data!I29="","",Raw_Data!I29)</f>
        <v>-280.64999999999998</v>
      </c>
      <c r="J29" t="str">
        <f>IF(TRIM(Raw_Data!J29)="","Review",PROPER(TRIM(Raw_Data!J29)))</f>
        <v>Upi</v>
      </c>
      <c r="K29" t="str">
        <f t="shared" si="0"/>
        <v>OK</v>
      </c>
    </row>
    <row r="30" spans="1:11">
      <c r="A30" t="str">
        <f>Raw_Data!A30</f>
        <v>ORD-0029</v>
      </c>
      <c r="B30" t="s">
        <v>89</v>
      </c>
      <c r="C30" t="str">
        <f>PROPER(TRIM(Raw_Data!C30))</f>
        <v>West</v>
      </c>
      <c r="D30" t="str">
        <f>PROPER(TRIM(Raw_Data!D30))</f>
        <v>Home</v>
      </c>
      <c r="E30" t="str">
        <f>PROPER(TRIM(Raw_Data!E30))</f>
        <v>Blender</v>
      </c>
      <c r="F30" t="str">
        <f>IF(TRIM(Raw_Data!F30)="","Review",PROPER(TRIM(Raw_Data!F30)))</f>
        <v>New</v>
      </c>
      <c r="G30">
        <f>Raw_Data!G30</f>
        <v>2</v>
      </c>
      <c r="H30">
        <f>IF(Raw_Data!H30="","",Raw_Data!H30)</f>
        <v>5847.71</v>
      </c>
      <c r="I30">
        <f>IF(Raw_Data!I30="","",Raw_Data!I30)</f>
        <v>-324.75</v>
      </c>
      <c r="J30" t="str">
        <f>IF(TRIM(Raw_Data!J30)="","Review",PROPER(TRIM(Raw_Data!J30)))</f>
        <v>Card</v>
      </c>
      <c r="K30" t="str">
        <f t="shared" si="0"/>
        <v>OK</v>
      </c>
    </row>
    <row r="31" spans="1:11">
      <c r="A31" t="str">
        <f>Raw_Data!A31</f>
        <v>ORD-0030</v>
      </c>
      <c r="B31" t="s">
        <v>91</v>
      </c>
      <c r="C31" t="str">
        <f>PROPER(TRIM(Raw_Data!C31))</f>
        <v>East</v>
      </c>
      <c r="D31" t="str">
        <f>PROPER(TRIM(Raw_Data!D31))</f>
        <v>Home</v>
      </c>
      <c r="E31" t="str">
        <f>PROPER(TRIM(Raw_Data!E31))</f>
        <v>Chair</v>
      </c>
      <c r="F31" t="str">
        <f>IF(TRIM(Raw_Data!F31)="","Review",PROPER(TRIM(Raw_Data!F31)))</f>
        <v>Existing</v>
      </c>
      <c r="G31">
        <f>Raw_Data!G31</f>
        <v>1</v>
      </c>
      <c r="H31">
        <f>IF(Raw_Data!H31="","",Raw_Data!H31)</f>
        <v>4607.4399999999996</v>
      </c>
      <c r="I31">
        <f>IF(Raw_Data!I31="","",Raw_Data!I31)</f>
        <v>326.76</v>
      </c>
      <c r="J31" t="str">
        <f>IF(TRIM(Raw_Data!J31)="","Review",PROPER(TRIM(Raw_Data!J31)))</f>
        <v>Card</v>
      </c>
      <c r="K31" t="str">
        <f t="shared" si="0"/>
        <v>OK</v>
      </c>
    </row>
    <row r="32" spans="1:11">
      <c r="A32" t="str">
        <f>Raw_Data!A32</f>
        <v>ORD-0031</v>
      </c>
      <c r="B32" t="s">
        <v>93</v>
      </c>
      <c r="C32" t="str">
        <f>PROPER(TRIM(Raw_Data!C32))</f>
        <v>East</v>
      </c>
      <c r="D32" t="str">
        <f>PROPER(TRIM(Raw_Data!D32))</f>
        <v>Home</v>
      </c>
      <c r="E32" t="str">
        <f>PROPER(TRIM(Raw_Data!E32))</f>
        <v>Bedsheet</v>
      </c>
      <c r="F32" t="str">
        <f>IF(TRIM(Raw_Data!F32)="","Review",PROPER(TRIM(Raw_Data!F32)))</f>
        <v>Existing</v>
      </c>
      <c r="G32">
        <f>Raw_Data!G32</f>
        <v>2</v>
      </c>
      <c r="H32">
        <f>IF(Raw_Data!H32="","",Raw_Data!H32)</f>
        <v>2668.74</v>
      </c>
      <c r="I32">
        <f>IF(Raw_Data!I32="","",Raw_Data!I32)</f>
        <v>-87.76</v>
      </c>
      <c r="J32" t="str">
        <f>IF(TRIM(Raw_Data!J32)="","Review",PROPER(TRIM(Raw_Data!J32)))</f>
        <v>Cash</v>
      </c>
      <c r="K32" t="str">
        <f t="shared" si="0"/>
        <v>OK</v>
      </c>
    </row>
    <row r="33" spans="1:11">
      <c r="A33" t="str">
        <f>Raw_Data!A33</f>
        <v>ORD-0032</v>
      </c>
      <c r="B33" t="s">
        <v>96</v>
      </c>
      <c r="C33" t="str">
        <f>PROPER(TRIM(Raw_Data!C33))</f>
        <v>North</v>
      </c>
      <c r="D33" t="str">
        <f>PROPER(TRIM(Raw_Data!D33))</f>
        <v>Electronics</v>
      </c>
      <c r="E33" t="str">
        <f>PROPER(TRIM(Raw_Data!E33))</f>
        <v>Laptop</v>
      </c>
      <c r="F33" t="str">
        <f>IF(TRIM(Raw_Data!F33)="","Review",PROPER(TRIM(Raw_Data!F33)))</f>
        <v>New</v>
      </c>
      <c r="G33">
        <f>Raw_Data!G33</f>
        <v>4</v>
      </c>
      <c r="H33">
        <f>IF(Raw_Data!H33="","",Raw_Data!H33)</f>
        <v>213040.23</v>
      </c>
      <c r="I33">
        <f>IF(Raw_Data!I33="","",Raw_Data!I33)</f>
        <v>26135.29</v>
      </c>
      <c r="J33" t="str">
        <f>IF(TRIM(Raw_Data!J33)="","Review",PROPER(TRIM(Raw_Data!J33)))</f>
        <v>Cash</v>
      </c>
      <c r="K33" t="str">
        <f t="shared" si="0"/>
        <v>OK</v>
      </c>
    </row>
    <row r="34" spans="1:11">
      <c r="A34" t="str">
        <f>Raw_Data!A34</f>
        <v>ORD-0033</v>
      </c>
      <c r="B34" t="s">
        <v>98</v>
      </c>
      <c r="C34" t="str">
        <f>PROPER(TRIM(Raw_Data!C34))</f>
        <v>West</v>
      </c>
      <c r="D34" t="str">
        <f>PROPER(TRIM(Raw_Data!D34))</f>
        <v>Electronics</v>
      </c>
      <c r="E34" t="str">
        <f>PROPER(TRIM(Raw_Data!E34))</f>
        <v>Smartphone</v>
      </c>
      <c r="F34" t="str">
        <f>IF(TRIM(Raw_Data!F34)="","Review",PROPER(TRIM(Raw_Data!F34)))</f>
        <v>Existing</v>
      </c>
      <c r="G34">
        <f>Raw_Data!G34</f>
        <v>1</v>
      </c>
      <c r="H34">
        <f>IF(Raw_Data!H34="","",Raw_Data!H34)</f>
        <v>30123.91</v>
      </c>
      <c r="I34">
        <f>IF(Raw_Data!I34="","",Raw_Data!I34)</f>
        <v>1597.46</v>
      </c>
      <c r="J34" t="str">
        <f>IF(TRIM(Raw_Data!J34)="","Review",PROPER(TRIM(Raw_Data!J34)))</f>
        <v>Upi</v>
      </c>
      <c r="K34" t="str">
        <f t="shared" si="0"/>
        <v>OK</v>
      </c>
    </row>
    <row r="35" spans="1:11">
      <c r="A35" t="str">
        <f>Raw_Data!A35</f>
        <v>ORD-0034</v>
      </c>
      <c r="B35" t="s">
        <v>100</v>
      </c>
      <c r="C35" t="str">
        <f>PROPER(TRIM(Raw_Data!C35))</f>
        <v>East</v>
      </c>
      <c r="D35" t="str">
        <f>PROPER(TRIM(Raw_Data!D35))</f>
        <v>Home</v>
      </c>
      <c r="E35" t="str">
        <f>PROPER(TRIM(Raw_Data!E35))</f>
        <v>Chair</v>
      </c>
      <c r="F35" t="str">
        <f>IF(TRIM(Raw_Data!F35)="","Review",PROPER(TRIM(Raw_Data!F35)))</f>
        <v>New</v>
      </c>
      <c r="G35">
        <f>Raw_Data!G35</f>
        <v>3</v>
      </c>
      <c r="H35">
        <f>IF(Raw_Data!H35="","",Raw_Data!H35)</f>
        <v>14665.74</v>
      </c>
      <c r="I35">
        <f>IF(Raw_Data!I35="","",Raw_Data!I35)</f>
        <v>-626.36</v>
      </c>
      <c r="J35" t="str">
        <f>IF(TRIM(Raw_Data!J35)="","Review",PROPER(TRIM(Raw_Data!J35)))</f>
        <v>Upi</v>
      </c>
      <c r="K35" t="str">
        <f t="shared" si="0"/>
        <v>OK</v>
      </c>
    </row>
    <row r="36" spans="1:11">
      <c r="A36" t="str">
        <f>Raw_Data!A36</f>
        <v>ORD-0035</v>
      </c>
      <c r="B36" t="s">
        <v>103</v>
      </c>
      <c r="C36" t="str">
        <f>PROPER(TRIM(Raw_Data!C36))</f>
        <v>South</v>
      </c>
      <c r="D36" t="str">
        <f>PROPER(TRIM(Raw_Data!D36))</f>
        <v>Home</v>
      </c>
      <c r="E36" t="str">
        <f>PROPER(TRIM(Raw_Data!E36))</f>
        <v>Chair</v>
      </c>
      <c r="F36" t="str">
        <f>IF(TRIM(Raw_Data!F36)="","Review",PROPER(TRIM(Raw_Data!F36)))</f>
        <v>Existing</v>
      </c>
      <c r="G36">
        <f>Raw_Data!G36</f>
        <v>2</v>
      </c>
      <c r="H36">
        <f>IF(Raw_Data!H36="","",Raw_Data!H36)</f>
        <v>8590.23</v>
      </c>
      <c r="I36">
        <f>IF(Raw_Data!I36="","",Raw_Data!I36)</f>
        <v>1183.21</v>
      </c>
      <c r="J36" t="str">
        <f>IF(TRIM(Raw_Data!J36)="","Review",PROPER(TRIM(Raw_Data!J36)))</f>
        <v>Net Banking</v>
      </c>
      <c r="K36" t="str">
        <f t="shared" si="0"/>
        <v>OK</v>
      </c>
    </row>
    <row r="37" spans="1:11">
      <c r="A37" t="str">
        <f>Raw_Data!A37</f>
        <v>ORD-0036</v>
      </c>
      <c r="B37" t="s">
        <v>105</v>
      </c>
      <c r="C37" t="str">
        <f>PROPER(TRIM(Raw_Data!C37))</f>
        <v>North</v>
      </c>
      <c r="D37" t="str">
        <f>PROPER(TRIM(Raw_Data!D37))</f>
        <v>Clothing</v>
      </c>
      <c r="E37" t="str">
        <f>PROPER(TRIM(Raw_Data!E37))</f>
        <v>Jacket</v>
      </c>
      <c r="F37" t="str">
        <f>IF(TRIM(Raw_Data!F37)="","Review",PROPER(TRIM(Raw_Data!F37)))</f>
        <v>Existing</v>
      </c>
      <c r="G37">
        <f>Raw_Data!G37</f>
        <v>1</v>
      </c>
      <c r="H37">
        <f>IF(Raw_Data!H37="","",Raw_Data!H37)</f>
        <v>2259.09</v>
      </c>
      <c r="I37">
        <f>IF(Raw_Data!I37="","",Raw_Data!I37)</f>
        <v>493.76</v>
      </c>
      <c r="J37" t="str">
        <f>IF(TRIM(Raw_Data!J37)="","Review",PROPER(TRIM(Raw_Data!J37)))</f>
        <v>Card</v>
      </c>
      <c r="K37" t="str">
        <f t="shared" si="0"/>
        <v>OK</v>
      </c>
    </row>
    <row r="38" spans="1:11">
      <c r="A38" t="str">
        <f>Raw_Data!A38</f>
        <v>ORD-0037</v>
      </c>
      <c r="B38" t="s">
        <v>108</v>
      </c>
      <c r="C38" t="str">
        <f>PROPER(TRIM(Raw_Data!C38))</f>
        <v>North</v>
      </c>
      <c r="D38" t="str">
        <f>PROPER(TRIM(Raw_Data!D38))</f>
        <v>Home</v>
      </c>
      <c r="E38" t="str">
        <f>PROPER(TRIM(Raw_Data!E38))</f>
        <v>Bedsheet</v>
      </c>
      <c r="F38" t="str">
        <f>IF(TRIM(Raw_Data!F38)="","Review",PROPER(TRIM(Raw_Data!F38)))</f>
        <v>New</v>
      </c>
      <c r="G38">
        <f>Raw_Data!G38</f>
        <v>2</v>
      </c>
      <c r="H38">
        <f>IF(Raw_Data!H38="","",Raw_Data!H38)</f>
        <v>2935.09</v>
      </c>
      <c r="I38">
        <f>IF(Raw_Data!I38="","",Raw_Data!I38)</f>
        <v>348.12</v>
      </c>
      <c r="J38" t="str">
        <f>IF(TRIM(Raw_Data!J38)="","Review",PROPER(TRIM(Raw_Data!J38)))</f>
        <v>Upi</v>
      </c>
      <c r="K38" t="str">
        <f t="shared" si="0"/>
        <v>OK</v>
      </c>
    </row>
    <row r="39" spans="1:11">
      <c r="A39" t="str">
        <f>Raw_Data!A39</f>
        <v>ORD-0038</v>
      </c>
      <c r="B39" t="s">
        <v>110</v>
      </c>
      <c r="C39" t="str">
        <f>PROPER(TRIM(Raw_Data!C39))</f>
        <v>South</v>
      </c>
      <c r="D39" t="str">
        <f>PROPER(TRIM(Raw_Data!D39))</f>
        <v>Home</v>
      </c>
      <c r="E39" t="str">
        <f>PROPER(TRIM(Raw_Data!E39))</f>
        <v>Desk Lamp</v>
      </c>
      <c r="F39" t="str">
        <f>IF(TRIM(Raw_Data!F39)="","Review",PROPER(TRIM(Raw_Data!F39)))</f>
        <v>Existing</v>
      </c>
      <c r="G39">
        <f>Raw_Data!G39</f>
        <v>5</v>
      </c>
      <c r="H39">
        <f>IF(Raw_Data!H39="","",Raw_Data!H39)</f>
        <v>4082.43</v>
      </c>
      <c r="I39">
        <f>IF(Raw_Data!I39="","",Raw_Data!I39)</f>
        <v>216.03</v>
      </c>
      <c r="J39" t="str">
        <f>IF(TRIM(Raw_Data!J39)="","Review",PROPER(TRIM(Raw_Data!J39)))</f>
        <v>Card</v>
      </c>
      <c r="K39" t="str">
        <f t="shared" si="0"/>
        <v>OK</v>
      </c>
    </row>
    <row r="40" spans="1:11">
      <c r="A40" t="str">
        <f>Raw_Data!A40</f>
        <v>ORD-0039</v>
      </c>
      <c r="B40" t="s">
        <v>112</v>
      </c>
      <c r="C40" t="str">
        <f>PROPER(TRIM(Raw_Data!C40))</f>
        <v>East</v>
      </c>
      <c r="D40" t="str">
        <f>PROPER(TRIM(Raw_Data!D40))</f>
        <v>Electronics</v>
      </c>
      <c r="E40" t="str">
        <f>PROPER(TRIM(Raw_Data!E40))</f>
        <v>Smartphone</v>
      </c>
      <c r="F40" t="str">
        <f>IF(TRIM(Raw_Data!F40)="","Review",PROPER(TRIM(Raw_Data!F40)))</f>
        <v>New</v>
      </c>
      <c r="G40">
        <f>Raw_Data!G40</f>
        <v>3</v>
      </c>
      <c r="H40">
        <f>IF(Raw_Data!H40="","",Raw_Data!H40)</f>
        <v>90702.89</v>
      </c>
      <c r="I40">
        <f>IF(Raw_Data!I40="","",Raw_Data!I40)</f>
        <v>18739.580000000002</v>
      </c>
      <c r="J40" t="str">
        <f>IF(TRIM(Raw_Data!J40)="","Review",PROPER(TRIM(Raw_Data!J40)))</f>
        <v>Card</v>
      </c>
      <c r="K40" t="str">
        <f t="shared" si="0"/>
        <v>OK</v>
      </c>
    </row>
    <row r="41" spans="1:11">
      <c r="A41" t="str">
        <f>Raw_Data!A41</f>
        <v>ORD-0040</v>
      </c>
      <c r="B41" t="s">
        <v>114</v>
      </c>
      <c r="C41" t="str">
        <f>PROPER(TRIM(Raw_Data!C41))</f>
        <v>South</v>
      </c>
      <c r="D41" t="str">
        <f>PROPER(TRIM(Raw_Data!D41))</f>
        <v>Home</v>
      </c>
      <c r="E41" t="str">
        <f>PROPER(TRIM(Raw_Data!E41))</f>
        <v>Blender</v>
      </c>
      <c r="F41" t="str">
        <f>IF(TRIM(Raw_Data!F41)="","Review",PROPER(TRIM(Raw_Data!F41)))</f>
        <v>New</v>
      </c>
      <c r="G41">
        <f>Raw_Data!G41</f>
        <v>3</v>
      </c>
      <c r="H41">
        <f>IF(Raw_Data!H41="","",Raw_Data!H41)</f>
        <v>10137.82</v>
      </c>
      <c r="I41">
        <f>IF(Raw_Data!I41="","",Raw_Data!I41)</f>
        <v>2415.73</v>
      </c>
      <c r="J41" t="str">
        <f>IF(TRIM(Raw_Data!J41)="","Review",PROPER(TRIM(Raw_Data!J41)))</f>
        <v>Card</v>
      </c>
      <c r="K41" t="str">
        <f t="shared" si="0"/>
        <v>OK</v>
      </c>
    </row>
    <row r="42" spans="1:11">
      <c r="A42" t="str">
        <f>Raw_Data!A42</f>
        <v>ORD-0041</v>
      </c>
      <c r="B42" t="s">
        <v>116</v>
      </c>
      <c r="C42" t="str">
        <f>PROPER(TRIM(Raw_Data!C42))</f>
        <v>South</v>
      </c>
      <c r="D42" t="str">
        <f>PROPER(TRIM(Raw_Data!D42))</f>
        <v>Electronics</v>
      </c>
      <c r="E42" t="str">
        <f>PROPER(TRIM(Raw_Data!E42))</f>
        <v>Keyboard</v>
      </c>
      <c r="F42" t="str">
        <f>IF(TRIM(Raw_Data!F42)="","Review",PROPER(TRIM(Raw_Data!F42)))</f>
        <v>Existing</v>
      </c>
      <c r="G42">
        <f>Raw_Data!G42</f>
        <v>1</v>
      </c>
      <c r="H42">
        <f>IF(Raw_Data!H42="","",Raw_Data!H42)</f>
        <v>1684.57</v>
      </c>
      <c r="I42">
        <f>IF(Raw_Data!I42="","",Raw_Data!I42)</f>
        <v>425.89</v>
      </c>
      <c r="J42" t="str">
        <f>IF(TRIM(Raw_Data!J42)="","Review",PROPER(TRIM(Raw_Data!J42)))</f>
        <v>Card</v>
      </c>
      <c r="K42" t="str">
        <f t="shared" si="0"/>
        <v>OK</v>
      </c>
    </row>
    <row r="43" spans="1:11">
      <c r="A43" t="str">
        <f>Raw_Data!A43</f>
        <v>ORD-0042</v>
      </c>
      <c r="B43" t="s">
        <v>119</v>
      </c>
      <c r="C43" t="str">
        <f>PROPER(TRIM(Raw_Data!C43))</f>
        <v>South</v>
      </c>
      <c r="D43" t="str">
        <f>PROPER(TRIM(Raw_Data!D43))</f>
        <v>Home</v>
      </c>
      <c r="E43" t="str">
        <f>PROPER(TRIM(Raw_Data!E43))</f>
        <v>Blender</v>
      </c>
      <c r="F43" t="str">
        <f>IF(TRIM(Raw_Data!F43)="","Review",PROPER(TRIM(Raw_Data!F43)))</f>
        <v>Existing</v>
      </c>
      <c r="G43">
        <f>Raw_Data!G43</f>
        <v>4</v>
      </c>
      <c r="H43">
        <f>IF(Raw_Data!H43="","",Raw_Data!H43)</f>
        <v>13752.75</v>
      </c>
      <c r="I43">
        <f>IF(Raw_Data!I43="","",Raw_Data!I43)</f>
        <v>3150.67</v>
      </c>
      <c r="J43" t="str">
        <f>IF(TRIM(Raw_Data!J43)="","Review",PROPER(TRIM(Raw_Data!J43)))</f>
        <v>Cash</v>
      </c>
      <c r="K43" t="str">
        <f t="shared" si="0"/>
        <v>OK</v>
      </c>
    </row>
    <row r="44" spans="1:11">
      <c r="A44" t="str">
        <f>Raw_Data!A44</f>
        <v>ORD-0043</v>
      </c>
      <c r="B44" t="s">
        <v>121</v>
      </c>
      <c r="C44" t="str">
        <f>PROPER(TRIM(Raw_Data!C44))</f>
        <v>East</v>
      </c>
      <c r="D44" t="str">
        <f>PROPER(TRIM(Raw_Data!D44))</f>
        <v>Clothing</v>
      </c>
      <c r="E44" t="str">
        <f>PROPER(TRIM(Raw_Data!E44))</f>
        <v>T-Shirt</v>
      </c>
      <c r="F44" t="str">
        <f>IF(TRIM(Raw_Data!F44)="","Review",PROPER(TRIM(Raw_Data!F44)))</f>
        <v>New</v>
      </c>
      <c r="G44">
        <f>Raw_Data!G44</f>
        <v>2</v>
      </c>
      <c r="H44">
        <f>IF(Raw_Data!H44="","",Raw_Data!H44)</f>
        <v>1266.6300000000001</v>
      </c>
      <c r="I44">
        <f>IF(Raw_Data!I44="","",Raw_Data!I44)</f>
        <v>-13.27</v>
      </c>
      <c r="J44" t="str">
        <f>IF(TRIM(Raw_Data!J44)="","Review",PROPER(TRIM(Raw_Data!J44)))</f>
        <v>Cash</v>
      </c>
      <c r="K44" t="str">
        <f t="shared" si="0"/>
        <v>OK</v>
      </c>
    </row>
    <row r="45" spans="1:11">
      <c r="A45" t="str">
        <f>Raw_Data!A45</f>
        <v>ORD-0044</v>
      </c>
      <c r="B45" t="s">
        <v>71</v>
      </c>
      <c r="C45" t="str">
        <f>PROPER(TRIM(Raw_Data!C45))</f>
        <v>North</v>
      </c>
      <c r="D45" t="str">
        <f>PROPER(TRIM(Raw_Data!D45))</f>
        <v>Clothing</v>
      </c>
      <c r="E45" t="str">
        <f>PROPER(TRIM(Raw_Data!E45))</f>
        <v>Dress</v>
      </c>
      <c r="F45" t="str">
        <f>IF(TRIM(Raw_Data!F45)="","Review",PROPER(TRIM(Raw_Data!F45)))</f>
        <v>New</v>
      </c>
      <c r="G45">
        <f>Raw_Data!G45</f>
        <v>4</v>
      </c>
      <c r="H45">
        <f>IF(Raw_Data!H45="","",Raw_Data!H45)</f>
        <v>7872.87</v>
      </c>
      <c r="I45">
        <f>IF(Raw_Data!I45="","",Raw_Data!I45)</f>
        <v>1761.3</v>
      </c>
      <c r="J45" t="str">
        <f>IF(TRIM(Raw_Data!J45)="","Review",PROPER(TRIM(Raw_Data!J45)))</f>
        <v>Cash</v>
      </c>
      <c r="K45" t="str">
        <f t="shared" si="0"/>
        <v>OK</v>
      </c>
    </row>
    <row r="46" spans="1:11">
      <c r="A46" t="str">
        <f>Raw_Data!A46</f>
        <v>ORD-0045</v>
      </c>
      <c r="B46" t="s">
        <v>124</v>
      </c>
      <c r="C46" t="str">
        <f>PROPER(TRIM(Raw_Data!C46))</f>
        <v>East</v>
      </c>
      <c r="D46" t="str">
        <f>PROPER(TRIM(Raw_Data!D46))</f>
        <v>Electronics</v>
      </c>
      <c r="E46" t="str">
        <f>PROPER(TRIM(Raw_Data!E46))</f>
        <v>Monitor</v>
      </c>
      <c r="F46" t="str">
        <f>IF(TRIM(Raw_Data!F46)="","Review",PROPER(TRIM(Raw_Data!F46)))</f>
        <v>Existing</v>
      </c>
      <c r="G46">
        <f>Raw_Data!G46</f>
        <v>3</v>
      </c>
      <c r="H46">
        <f>IF(Raw_Data!H46="","",Raw_Data!H46)</f>
        <v>32675.45</v>
      </c>
      <c r="I46">
        <f>IF(Raw_Data!I46="","",Raw_Data!I46)</f>
        <v>4403.53</v>
      </c>
      <c r="J46" t="str">
        <f>IF(TRIM(Raw_Data!J46)="","Review",PROPER(TRIM(Raw_Data!J46)))</f>
        <v>Upi</v>
      </c>
      <c r="K46" t="str">
        <f t="shared" si="0"/>
        <v>OK</v>
      </c>
    </row>
    <row r="47" spans="1:11">
      <c r="A47" t="str">
        <f>Raw_Data!A47</f>
        <v>ORD-0046</v>
      </c>
      <c r="B47" t="s">
        <v>61</v>
      </c>
      <c r="C47" t="str">
        <f>PROPER(TRIM(Raw_Data!C47))</f>
        <v>South</v>
      </c>
      <c r="D47" t="str">
        <f>PROPER(TRIM(Raw_Data!D47))</f>
        <v>Clothing</v>
      </c>
      <c r="E47" t="str">
        <f>PROPER(TRIM(Raw_Data!E47))</f>
        <v>Dress</v>
      </c>
      <c r="F47" t="str">
        <f>IF(TRIM(Raw_Data!F47)="","Review",PROPER(TRIM(Raw_Data!F47)))</f>
        <v>Existing</v>
      </c>
      <c r="G47">
        <f>Raw_Data!G47</f>
        <v>2</v>
      </c>
      <c r="H47">
        <f>IF(Raw_Data!H47="","",Raw_Data!H47)</f>
        <v>3613.59</v>
      </c>
      <c r="I47">
        <f>IF(Raw_Data!I47="","",Raw_Data!I47)</f>
        <v>632.97</v>
      </c>
      <c r="J47" t="str">
        <f>IF(TRIM(Raw_Data!J47)="","Review",PROPER(TRIM(Raw_Data!J47)))</f>
        <v>Net Banking</v>
      </c>
      <c r="K47" t="str">
        <f t="shared" si="0"/>
        <v>OK</v>
      </c>
    </row>
    <row r="48" spans="1:11">
      <c r="A48" t="str">
        <f>Raw_Data!A48</f>
        <v>ORD-0047</v>
      </c>
      <c r="B48" t="s">
        <v>127</v>
      </c>
      <c r="C48" t="str">
        <f>PROPER(TRIM(Raw_Data!C48))</f>
        <v>East</v>
      </c>
      <c r="D48" t="str">
        <f>PROPER(TRIM(Raw_Data!D48))</f>
        <v>Electronics</v>
      </c>
      <c r="E48" t="str">
        <f>PROPER(TRIM(Raw_Data!E48))</f>
        <v>Smartphone</v>
      </c>
      <c r="F48" t="str">
        <f>IF(TRIM(Raw_Data!F48)="","Review",PROPER(TRIM(Raw_Data!F48)))</f>
        <v>Existing</v>
      </c>
      <c r="G48">
        <f>Raw_Data!G48</f>
        <v>5</v>
      </c>
      <c r="H48">
        <f>IF(Raw_Data!H48="","",Raw_Data!H48)</f>
        <v>134789.64000000001</v>
      </c>
      <c r="I48">
        <f>IF(Raw_Data!I48="","",Raw_Data!I48)</f>
        <v>30366.15</v>
      </c>
      <c r="J48" t="str">
        <f>IF(TRIM(Raw_Data!J48)="","Review",PROPER(TRIM(Raw_Data!J48)))</f>
        <v>Cash</v>
      </c>
      <c r="K48" t="str">
        <f t="shared" si="0"/>
        <v>OK</v>
      </c>
    </row>
    <row r="49" spans="1:11">
      <c r="A49" t="str">
        <f>Raw_Data!A49</f>
        <v>ORD-0048</v>
      </c>
      <c r="B49" t="s">
        <v>129</v>
      </c>
      <c r="C49" t="str">
        <f>PROPER(TRIM(Raw_Data!C49))</f>
        <v>South</v>
      </c>
      <c r="D49" t="str">
        <f>PROPER(TRIM(Raw_Data!D49))</f>
        <v>Clothing</v>
      </c>
      <c r="E49" t="str">
        <f>PROPER(TRIM(Raw_Data!E49))</f>
        <v>Jeans</v>
      </c>
      <c r="F49" t="str">
        <f>IF(TRIM(Raw_Data!F49)="","Review",PROPER(TRIM(Raw_Data!F49)))</f>
        <v>Existing</v>
      </c>
      <c r="G49">
        <f>Raw_Data!G49</f>
        <v>5</v>
      </c>
      <c r="H49">
        <f>IF(Raw_Data!H49="","",Raw_Data!H49)</f>
        <v>7403.66</v>
      </c>
      <c r="I49">
        <f>IF(Raw_Data!I49="","",Raw_Data!I49)</f>
        <v>528.33000000000004</v>
      </c>
      <c r="J49" t="str">
        <f>IF(TRIM(Raw_Data!J49)="","Review",PROPER(TRIM(Raw_Data!J49)))</f>
        <v>Net Banking</v>
      </c>
      <c r="K49" t="str">
        <f t="shared" si="0"/>
        <v>OK</v>
      </c>
    </row>
    <row r="50" spans="1:11">
      <c r="A50" t="str">
        <f>Raw_Data!A50</f>
        <v>ORD-0049</v>
      </c>
      <c r="B50" t="s">
        <v>132</v>
      </c>
      <c r="C50" t="str">
        <f>PROPER(TRIM(Raw_Data!C50))</f>
        <v>East</v>
      </c>
      <c r="D50" t="str">
        <f>PROPER(TRIM(Raw_Data!D50))</f>
        <v>Home</v>
      </c>
      <c r="E50" t="str">
        <f>PROPER(TRIM(Raw_Data!E50))</f>
        <v>Blender</v>
      </c>
      <c r="F50" t="str">
        <f>IF(TRIM(Raw_Data!F50)="","Review",PROPER(TRIM(Raw_Data!F50)))</f>
        <v>Existing</v>
      </c>
      <c r="G50">
        <f>Raw_Data!G50</f>
        <v>3</v>
      </c>
      <c r="H50">
        <f>IF(Raw_Data!H50="","",Raw_Data!H50)</f>
        <v>9190.8700000000008</v>
      </c>
      <c r="I50">
        <f>IF(Raw_Data!I50="","",Raw_Data!I50)</f>
        <v>687.11</v>
      </c>
      <c r="J50" t="str">
        <f>IF(TRIM(Raw_Data!J50)="","Review",PROPER(TRIM(Raw_Data!J50)))</f>
        <v>Net Banking</v>
      </c>
      <c r="K50" t="str">
        <f t="shared" si="0"/>
        <v>OK</v>
      </c>
    </row>
    <row r="51" spans="1:11">
      <c r="A51" t="str">
        <f>Raw_Data!A51</f>
        <v>ORD-0050</v>
      </c>
      <c r="B51" t="s">
        <v>134</v>
      </c>
      <c r="C51" t="str">
        <f>PROPER(TRIM(Raw_Data!C51))</f>
        <v>North</v>
      </c>
      <c r="D51" t="str">
        <f>PROPER(TRIM(Raw_Data!D51))</f>
        <v>Clothing</v>
      </c>
      <c r="E51" t="str">
        <f>PROPER(TRIM(Raw_Data!E51))</f>
        <v>T-Shirt</v>
      </c>
      <c r="F51" t="str">
        <f>IF(TRIM(Raw_Data!F51)="","Review",PROPER(TRIM(Raw_Data!F51)))</f>
        <v>Existing</v>
      </c>
      <c r="G51">
        <f>Raw_Data!G51</f>
        <v>5</v>
      </c>
      <c r="H51">
        <f>IF(Raw_Data!H51="","",Raw_Data!H51)</f>
        <v>3481.23</v>
      </c>
      <c r="I51">
        <f>IF(Raw_Data!I51="","",Raw_Data!I51)</f>
        <v>850.9</v>
      </c>
      <c r="J51" t="str">
        <f>IF(TRIM(Raw_Data!J51)="","Review",PROPER(TRIM(Raw_Data!J51)))</f>
        <v>Cash</v>
      </c>
      <c r="K51" t="str">
        <f t="shared" si="0"/>
        <v>OK</v>
      </c>
    </row>
    <row r="52" spans="1:11">
      <c r="A52" t="str">
        <f>Raw_Data!A52</f>
        <v>ORD-0051</v>
      </c>
      <c r="B52" t="s">
        <v>136</v>
      </c>
      <c r="C52" t="str">
        <f>PROPER(TRIM(Raw_Data!C52))</f>
        <v>North</v>
      </c>
      <c r="D52" t="str">
        <f>PROPER(TRIM(Raw_Data!D52))</f>
        <v>Electronics</v>
      </c>
      <c r="E52" t="str">
        <f>PROPER(TRIM(Raw_Data!E52))</f>
        <v>Headphones</v>
      </c>
      <c r="F52" t="str">
        <f>IF(TRIM(Raw_Data!F52)="","Review",PROPER(TRIM(Raw_Data!F52)))</f>
        <v>New</v>
      </c>
      <c r="G52">
        <f>Raw_Data!G52</f>
        <v>3</v>
      </c>
      <c r="H52">
        <f>IF(Raw_Data!H52="","",Raw_Data!H52)</f>
        <v>7086.96</v>
      </c>
      <c r="I52">
        <f>IF(Raw_Data!I52="","",Raw_Data!I52)</f>
        <v>-58.92</v>
      </c>
      <c r="J52" t="str">
        <f>IF(TRIM(Raw_Data!J52)="","Review",PROPER(TRIM(Raw_Data!J52)))</f>
        <v>Net Banking</v>
      </c>
      <c r="K52" t="str">
        <f t="shared" si="0"/>
        <v>OK</v>
      </c>
    </row>
    <row r="53" spans="1:11">
      <c r="A53" t="str">
        <f>Raw_Data!A53</f>
        <v>ORD-0052</v>
      </c>
      <c r="B53" t="s">
        <v>138</v>
      </c>
      <c r="C53" t="str">
        <f>PROPER(TRIM(Raw_Data!C53))</f>
        <v>West</v>
      </c>
      <c r="D53" t="str">
        <f>PROPER(TRIM(Raw_Data!D53))</f>
        <v>Home</v>
      </c>
      <c r="E53" t="str">
        <f>PROPER(TRIM(Raw_Data!E53))</f>
        <v>Blender</v>
      </c>
      <c r="F53" t="str">
        <f>IF(TRIM(Raw_Data!F53)="","Review",PROPER(TRIM(Raw_Data!F53)))</f>
        <v>Existing</v>
      </c>
      <c r="G53">
        <f>Raw_Data!G53</f>
        <v>4</v>
      </c>
      <c r="H53">
        <f>IF(Raw_Data!H53="","",Raw_Data!H53)</f>
        <v>12580.97</v>
      </c>
      <c r="I53">
        <f>IF(Raw_Data!I53="","",Raw_Data!I53)</f>
        <v>1845.82</v>
      </c>
      <c r="J53" t="str">
        <f>IF(TRIM(Raw_Data!J53)="","Review",PROPER(TRIM(Raw_Data!J53)))</f>
        <v>Net Banking</v>
      </c>
      <c r="K53" t="str">
        <f t="shared" si="0"/>
        <v>OK</v>
      </c>
    </row>
    <row r="54" spans="1:11">
      <c r="A54" t="str">
        <f>Raw_Data!A54</f>
        <v>ORD-0053</v>
      </c>
      <c r="B54" t="s">
        <v>58</v>
      </c>
      <c r="C54" t="str">
        <f>PROPER(TRIM(Raw_Data!C54))</f>
        <v>West</v>
      </c>
      <c r="D54" t="str">
        <f>PROPER(TRIM(Raw_Data!D54))</f>
        <v>Electronics</v>
      </c>
      <c r="E54" t="str">
        <f>PROPER(TRIM(Raw_Data!E54))</f>
        <v>Headphones</v>
      </c>
      <c r="F54" t="str">
        <f>IF(TRIM(Raw_Data!F54)="","Review",PROPER(TRIM(Raw_Data!F54)))</f>
        <v>New</v>
      </c>
      <c r="G54">
        <f>Raw_Data!G54</f>
        <v>1</v>
      </c>
      <c r="H54">
        <f>IF(Raw_Data!H54="","",Raw_Data!H54)</f>
        <v>2696.33</v>
      </c>
      <c r="I54">
        <f>IF(Raw_Data!I54="","",Raw_Data!I54)</f>
        <v>619.51</v>
      </c>
      <c r="J54" t="str">
        <f>IF(TRIM(Raw_Data!J54)="","Review",PROPER(TRIM(Raw_Data!J54)))</f>
        <v>Card</v>
      </c>
      <c r="K54" t="str">
        <f t="shared" si="0"/>
        <v>OK</v>
      </c>
    </row>
    <row r="55" spans="1:11">
      <c r="A55" t="str">
        <f>Raw_Data!A55</f>
        <v>ORD-0054</v>
      </c>
      <c r="B55" t="s">
        <v>142</v>
      </c>
      <c r="C55" t="str">
        <f>PROPER(TRIM(Raw_Data!C55))</f>
        <v>West</v>
      </c>
      <c r="D55" t="str">
        <f>PROPER(TRIM(Raw_Data!D55))</f>
        <v>Home</v>
      </c>
      <c r="E55" t="str">
        <f>PROPER(TRIM(Raw_Data!E55))</f>
        <v>Chair</v>
      </c>
      <c r="F55" t="str">
        <f>IF(TRIM(Raw_Data!F55)="","Review",PROPER(TRIM(Raw_Data!F55)))</f>
        <v>New</v>
      </c>
      <c r="G55">
        <f>Raw_Data!G55</f>
        <v>4</v>
      </c>
      <c r="H55">
        <f>IF(Raw_Data!H55="","",Raw_Data!H55)</f>
        <v>16380.79</v>
      </c>
      <c r="I55">
        <f>IF(Raw_Data!I55="","",Raw_Data!I55)</f>
        <v>159.08000000000001</v>
      </c>
      <c r="J55" t="str">
        <f>IF(TRIM(Raw_Data!J55)="","Review",PROPER(TRIM(Raw_Data!J55)))</f>
        <v>Net Banking</v>
      </c>
      <c r="K55" t="str">
        <f t="shared" si="0"/>
        <v>OK</v>
      </c>
    </row>
    <row r="56" spans="1:11">
      <c r="A56" t="str">
        <f>Raw_Data!A56</f>
        <v>ORD-0055</v>
      </c>
      <c r="B56" t="s">
        <v>144</v>
      </c>
      <c r="C56" t="str">
        <f>PROPER(TRIM(Raw_Data!C56))</f>
        <v>West</v>
      </c>
      <c r="D56" t="str">
        <f>PROPER(TRIM(Raw_Data!D56))</f>
        <v>Home</v>
      </c>
      <c r="E56" t="str">
        <f>PROPER(TRIM(Raw_Data!E56))</f>
        <v>Chair</v>
      </c>
      <c r="F56" t="str">
        <f>IF(TRIM(Raw_Data!F56)="","Review",PROPER(TRIM(Raw_Data!F56)))</f>
        <v>Existing</v>
      </c>
      <c r="G56">
        <f>Raw_Data!G56</f>
        <v>5</v>
      </c>
      <c r="H56">
        <f>IF(Raw_Data!H56="","",Raw_Data!H56)</f>
        <v>22929.54</v>
      </c>
      <c r="I56">
        <f>IF(Raw_Data!I56="","",Raw_Data!I56)</f>
        <v>6007.87</v>
      </c>
      <c r="J56" t="str">
        <f>IF(TRIM(Raw_Data!J56)="","Review",PROPER(TRIM(Raw_Data!J56)))</f>
        <v>Card</v>
      </c>
      <c r="K56" t="str">
        <f t="shared" si="0"/>
        <v>OK</v>
      </c>
    </row>
    <row r="57" spans="1:11">
      <c r="A57" t="str">
        <f>Raw_Data!A57</f>
        <v>ORD-0056</v>
      </c>
      <c r="B57" t="s">
        <v>146</v>
      </c>
      <c r="C57" t="str">
        <f>PROPER(TRIM(Raw_Data!C57))</f>
        <v>East</v>
      </c>
      <c r="D57" t="str">
        <f>PROPER(TRIM(Raw_Data!D57))</f>
        <v>Home</v>
      </c>
      <c r="E57" t="str">
        <f>PROPER(TRIM(Raw_Data!E57))</f>
        <v>Cookware Set</v>
      </c>
      <c r="F57" t="str">
        <f>IF(TRIM(Raw_Data!F57)="","Review",PROPER(TRIM(Raw_Data!F57)))</f>
        <v>Existing</v>
      </c>
      <c r="G57">
        <f>Raw_Data!G57</f>
        <v>4</v>
      </c>
      <c r="H57">
        <f>IF(Raw_Data!H57="","",Raw_Data!H57)</f>
        <v>10660.59</v>
      </c>
      <c r="I57">
        <f>IF(Raw_Data!I57="","",Raw_Data!I57)</f>
        <v>96.01</v>
      </c>
      <c r="J57" t="str">
        <f>IF(TRIM(Raw_Data!J57)="","Review",PROPER(TRIM(Raw_Data!J57)))</f>
        <v>Card</v>
      </c>
      <c r="K57" t="str">
        <f t="shared" si="0"/>
        <v>OK</v>
      </c>
    </row>
    <row r="58" spans="1:11">
      <c r="A58" t="str">
        <f>Raw_Data!A58</f>
        <v>ORD-0057</v>
      </c>
      <c r="B58" t="s">
        <v>148</v>
      </c>
      <c r="C58" t="str">
        <f>PROPER(TRIM(Raw_Data!C58))</f>
        <v>East</v>
      </c>
      <c r="D58" t="str">
        <f>PROPER(TRIM(Raw_Data!D58))</f>
        <v>Clothing</v>
      </c>
      <c r="E58" t="str">
        <f>PROPER(TRIM(Raw_Data!E58))</f>
        <v>Sneakers</v>
      </c>
      <c r="F58" t="str">
        <f>IF(TRIM(Raw_Data!F58)="","Review",PROPER(TRIM(Raw_Data!F58)))</f>
        <v>New</v>
      </c>
      <c r="G58">
        <f>Raw_Data!G58</f>
        <v>1</v>
      </c>
      <c r="H58">
        <f>IF(Raw_Data!H58="","",Raw_Data!H58)</f>
        <v>3649.48</v>
      </c>
      <c r="I58">
        <f>IF(Raw_Data!I58="","",Raw_Data!I58)</f>
        <v>16.12</v>
      </c>
      <c r="J58" t="str">
        <f>IF(TRIM(Raw_Data!J58)="","Review",PROPER(TRIM(Raw_Data!J58)))</f>
        <v>Card</v>
      </c>
      <c r="K58" t="str">
        <f t="shared" si="0"/>
        <v>OK</v>
      </c>
    </row>
    <row r="59" spans="1:11">
      <c r="A59" t="str">
        <f>Raw_Data!A59</f>
        <v>ORD-0058</v>
      </c>
      <c r="B59" t="s">
        <v>150</v>
      </c>
      <c r="C59" t="str">
        <f>PROPER(TRIM(Raw_Data!C59))</f>
        <v>West</v>
      </c>
      <c r="D59" t="str">
        <f>PROPER(TRIM(Raw_Data!D59))</f>
        <v>Electronics</v>
      </c>
      <c r="E59" t="str">
        <f>PROPER(TRIM(Raw_Data!E59))</f>
        <v>Headphones</v>
      </c>
      <c r="F59" t="str">
        <f>IF(TRIM(Raw_Data!F59)="","Review",PROPER(TRIM(Raw_Data!F59)))</f>
        <v>Existing</v>
      </c>
      <c r="G59">
        <f>Raw_Data!G59</f>
        <v>4</v>
      </c>
      <c r="H59">
        <f>IF(Raw_Data!H59="","",Raw_Data!H59)</f>
        <v>10387.9</v>
      </c>
      <c r="I59">
        <f>IF(Raw_Data!I59="","",Raw_Data!I59)</f>
        <v>1810.72</v>
      </c>
      <c r="J59" t="str">
        <f>IF(TRIM(Raw_Data!J59)="","Review",PROPER(TRIM(Raw_Data!J59)))</f>
        <v>Cash</v>
      </c>
      <c r="K59" t="str">
        <f t="shared" si="0"/>
        <v>OK</v>
      </c>
    </row>
    <row r="60" spans="1:11">
      <c r="A60" t="str">
        <f>Raw_Data!A60</f>
        <v>ORD-0059</v>
      </c>
      <c r="B60" t="s">
        <v>152</v>
      </c>
      <c r="C60" t="str">
        <f>PROPER(TRIM(Raw_Data!C60))</f>
        <v>North</v>
      </c>
      <c r="D60" t="str">
        <f>PROPER(TRIM(Raw_Data!D60))</f>
        <v>Home</v>
      </c>
      <c r="E60" t="str">
        <f>PROPER(TRIM(Raw_Data!E60))</f>
        <v>Cookware Set</v>
      </c>
      <c r="F60" t="str">
        <f>IF(TRIM(Raw_Data!F60)="","Review",PROPER(TRIM(Raw_Data!F60)))</f>
        <v>Existing</v>
      </c>
      <c r="G60">
        <f>Raw_Data!G60</f>
        <v>4</v>
      </c>
      <c r="H60">
        <f>IF(Raw_Data!H60="","",Raw_Data!H60)</f>
        <v>10219.48</v>
      </c>
      <c r="I60">
        <f>IF(Raw_Data!I60="","",Raw_Data!I60)</f>
        <v>2246.66</v>
      </c>
      <c r="J60" t="str">
        <f>IF(TRIM(Raw_Data!J60)="","Review",PROPER(TRIM(Raw_Data!J60)))</f>
        <v>Net Banking</v>
      </c>
      <c r="K60" t="str">
        <f t="shared" si="0"/>
        <v>OK</v>
      </c>
    </row>
    <row r="61" spans="1:11">
      <c r="A61" t="str">
        <f>Raw_Data!A61</f>
        <v>ORD-0060</v>
      </c>
      <c r="B61" t="s">
        <v>154</v>
      </c>
      <c r="C61" t="str">
        <f>PROPER(TRIM(Raw_Data!C61))</f>
        <v>South</v>
      </c>
      <c r="D61" t="str">
        <f>PROPER(TRIM(Raw_Data!D61))</f>
        <v>Electronics</v>
      </c>
      <c r="E61" t="str">
        <f>PROPER(TRIM(Raw_Data!E61))</f>
        <v>Smartphone</v>
      </c>
      <c r="F61" t="str">
        <f>IF(TRIM(Raw_Data!F61)="","Review",PROPER(TRIM(Raw_Data!F61)))</f>
        <v>Existing</v>
      </c>
      <c r="G61">
        <f>Raw_Data!G61</f>
        <v>3</v>
      </c>
      <c r="H61">
        <f>IF(Raw_Data!H61="","",Raw_Data!H61)</f>
        <v>88258.38</v>
      </c>
      <c r="I61">
        <f>IF(Raw_Data!I61="","",Raw_Data!I61)</f>
        <v>20055.95</v>
      </c>
      <c r="J61" t="str">
        <f>IF(TRIM(Raw_Data!J61)="","Review",PROPER(TRIM(Raw_Data!J61)))</f>
        <v>Card</v>
      </c>
      <c r="K61" t="str">
        <f t="shared" si="0"/>
        <v>OK</v>
      </c>
    </row>
    <row r="62" spans="1:11">
      <c r="A62" t="str">
        <f>Raw_Data!A62</f>
        <v>ORD-0061</v>
      </c>
      <c r="B62" t="s">
        <v>156</v>
      </c>
      <c r="C62" t="str">
        <f>PROPER(TRIM(Raw_Data!C62))</f>
        <v>West</v>
      </c>
      <c r="D62" t="str">
        <f>PROPER(TRIM(Raw_Data!D62))</f>
        <v>Clothing</v>
      </c>
      <c r="E62" t="str">
        <f>PROPER(TRIM(Raw_Data!E62))</f>
        <v>Sneakers</v>
      </c>
      <c r="F62" t="str">
        <f>IF(TRIM(Raw_Data!F62)="","Review",PROPER(TRIM(Raw_Data!F62)))</f>
        <v>New</v>
      </c>
      <c r="G62">
        <f>Raw_Data!G62</f>
        <v>4</v>
      </c>
      <c r="H62">
        <f>IF(Raw_Data!H62="","",Raw_Data!H62)</f>
        <v>12681.27</v>
      </c>
      <c r="I62">
        <f>IF(Raw_Data!I62="","",Raw_Data!I62)</f>
        <v>520.02</v>
      </c>
      <c r="J62" t="str">
        <f>IF(TRIM(Raw_Data!J62)="","Review",PROPER(TRIM(Raw_Data!J62)))</f>
        <v>Net Banking</v>
      </c>
      <c r="K62" t="str">
        <f t="shared" si="0"/>
        <v>OK</v>
      </c>
    </row>
    <row r="63" spans="1:11">
      <c r="A63" t="str">
        <f>Raw_Data!A63</f>
        <v>ORD-0062</v>
      </c>
      <c r="B63" t="s">
        <v>158</v>
      </c>
      <c r="C63" t="str">
        <f>PROPER(TRIM(Raw_Data!C63))</f>
        <v>North</v>
      </c>
      <c r="D63" t="str">
        <f>PROPER(TRIM(Raw_Data!D63))</f>
        <v>Electronics</v>
      </c>
      <c r="E63" t="str">
        <f>PROPER(TRIM(Raw_Data!E63))</f>
        <v>Monitor</v>
      </c>
      <c r="F63" t="str">
        <f>IF(TRIM(Raw_Data!F63)="","Review",PROPER(TRIM(Raw_Data!F63)))</f>
        <v>New</v>
      </c>
      <c r="G63">
        <f>Raw_Data!G63</f>
        <v>5</v>
      </c>
      <c r="H63">
        <f>IF(Raw_Data!H63="","",Raw_Data!H63)</f>
        <v>54323.6</v>
      </c>
      <c r="I63">
        <f>IF(Raw_Data!I63="","",Raw_Data!I63)</f>
        <v>3359.77</v>
      </c>
      <c r="J63" t="str">
        <f>IF(TRIM(Raw_Data!J63)="","Review",PROPER(TRIM(Raw_Data!J63)))</f>
        <v>Net Banking</v>
      </c>
      <c r="K63" t="str">
        <f t="shared" si="0"/>
        <v>OK</v>
      </c>
    </row>
    <row r="64" spans="1:11">
      <c r="A64" t="str">
        <f>Raw_Data!A64</f>
        <v>ORD-0063</v>
      </c>
      <c r="B64" t="s">
        <v>160</v>
      </c>
      <c r="C64" t="str">
        <f>PROPER(TRIM(Raw_Data!C64))</f>
        <v>West</v>
      </c>
      <c r="D64" t="str">
        <f>PROPER(TRIM(Raw_Data!D64))</f>
        <v>Electronics</v>
      </c>
      <c r="E64" t="str">
        <f>PROPER(TRIM(Raw_Data!E64))</f>
        <v>Keyboard</v>
      </c>
      <c r="F64" t="str">
        <f>IF(TRIM(Raw_Data!F64)="","Review",PROPER(TRIM(Raw_Data!F64)))</f>
        <v>Existing</v>
      </c>
      <c r="G64">
        <f>Raw_Data!G64</f>
        <v>2</v>
      </c>
      <c r="H64">
        <f>IF(Raw_Data!H64="","",Raw_Data!H64)</f>
        <v>3276.2</v>
      </c>
      <c r="I64">
        <f>IF(Raw_Data!I64="","",Raw_Data!I64)</f>
        <v>185.03</v>
      </c>
      <c r="J64" t="str">
        <f>IF(TRIM(Raw_Data!J64)="","Review",PROPER(TRIM(Raw_Data!J64)))</f>
        <v>Cash</v>
      </c>
      <c r="K64" t="str">
        <f t="shared" si="0"/>
        <v>OK</v>
      </c>
    </row>
    <row r="65" spans="1:11">
      <c r="A65" t="str">
        <f>Raw_Data!A65</f>
        <v>ORD-0064</v>
      </c>
      <c r="B65" t="s">
        <v>162</v>
      </c>
      <c r="C65" t="str">
        <f>PROPER(TRIM(Raw_Data!C65))</f>
        <v>North</v>
      </c>
      <c r="D65" t="str">
        <f>PROPER(TRIM(Raw_Data!D65))</f>
        <v>Clothing</v>
      </c>
      <c r="E65" t="str">
        <f>PROPER(TRIM(Raw_Data!E65))</f>
        <v>Jeans</v>
      </c>
      <c r="F65" t="str">
        <f>IF(TRIM(Raw_Data!F65)="","Review",PROPER(TRIM(Raw_Data!F65)))</f>
        <v>Existing</v>
      </c>
      <c r="G65">
        <f>Raw_Data!G65</f>
        <v>4</v>
      </c>
      <c r="H65">
        <f>IF(Raw_Data!H65="","",Raw_Data!H65)</f>
        <v>6082.91</v>
      </c>
      <c r="I65">
        <f>IF(Raw_Data!I65="","",Raw_Data!I65)</f>
        <v>-307.27</v>
      </c>
      <c r="J65" t="str">
        <f>IF(TRIM(Raw_Data!J65)="","Review",PROPER(TRIM(Raw_Data!J65)))</f>
        <v>Review</v>
      </c>
      <c r="K65" t="str">
        <f t="shared" si="0"/>
        <v>Review</v>
      </c>
    </row>
    <row r="66" spans="1:11">
      <c r="A66" t="str">
        <f>Raw_Data!A66</f>
        <v>ORD-0065</v>
      </c>
      <c r="B66" t="s">
        <v>164</v>
      </c>
      <c r="C66" t="str">
        <f>PROPER(TRIM(Raw_Data!C66))</f>
        <v>North</v>
      </c>
      <c r="D66" t="str">
        <f>PROPER(TRIM(Raw_Data!D66))</f>
        <v>Home</v>
      </c>
      <c r="E66" t="str">
        <f>PROPER(TRIM(Raw_Data!E66))</f>
        <v>Blender</v>
      </c>
      <c r="F66" t="str">
        <f>IF(TRIM(Raw_Data!F66)="","Review",PROPER(TRIM(Raw_Data!F66)))</f>
        <v>New</v>
      </c>
      <c r="G66">
        <f>Raw_Data!G66</f>
        <v>1</v>
      </c>
      <c r="H66">
        <f>IF(Raw_Data!H66="","",Raw_Data!H66)</f>
        <v>3362.71</v>
      </c>
      <c r="I66">
        <f>IF(Raw_Data!I66="","",Raw_Data!I66)</f>
        <v>880.56</v>
      </c>
      <c r="J66" t="str">
        <f>IF(TRIM(Raw_Data!J66)="","Review",PROPER(TRIM(Raw_Data!J66)))</f>
        <v>Card</v>
      </c>
      <c r="K66" t="str">
        <f t="shared" si="0"/>
        <v>OK</v>
      </c>
    </row>
    <row r="67" spans="1:11">
      <c r="A67" t="str">
        <f>Raw_Data!A67</f>
        <v>ORD-0066</v>
      </c>
      <c r="B67" t="s">
        <v>166</v>
      </c>
      <c r="C67" t="str">
        <f>PROPER(TRIM(Raw_Data!C67))</f>
        <v>East</v>
      </c>
      <c r="D67" t="str">
        <f>PROPER(TRIM(Raw_Data!D67))</f>
        <v>Electronics</v>
      </c>
      <c r="E67" t="str">
        <f>PROPER(TRIM(Raw_Data!E67))</f>
        <v>Keyboard</v>
      </c>
      <c r="F67" t="str">
        <f>IF(TRIM(Raw_Data!F67)="","Review",PROPER(TRIM(Raw_Data!F67)))</f>
        <v>Existing</v>
      </c>
      <c r="G67">
        <f>Raw_Data!G67</f>
        <v>1</v>
      </c>
      <c r="H67">
        <f>IF(Raw_Data!H67="","",Raw_Data!H67)</f>
        <v>1823.03</v>
      </c>
      <c r="I67">
        <f>IF(Raw_Data!I67="","",Raw_Data!I67)</f>
        <v>-2.79</v>
      </c>
      <c r="J67" t="str">
        <f>IF(TRIM(Raw_Data!J67)="","Review",PROPER(TRIM(Raw_Data!J67)))</f>
        <v>Card</v>
      </c>
      <c r="K67" t="str">
        <f t="shared" ref="K67:K130" si="1">IF(OR(H67="",I67="",J67="Review",F67="Review"),"Review","OK")</f>
        <v>OK</v>
      </c>
    </row>
    <row r="68" spans="1:11">
      <c r="A68" t="str">
        <f>Raw_Data!A68</f>
        <v>ORD-0067</v>
      </c>
      <c r="B68" t="s">
        <v>168</v>
      </c>
      <c r="C68" t="str">
        <f>PROPER(TRIM(Raw_Data!C68))</f>
        <v>North</v>
      </c>
      <c r="D68" t="str">
        <f>PROPER(TRIM(Raw_Data!D68))</f>
        <v>Home</v>
      </c>
      <c r="E68" t="str">
        <f>PROPER(TRIM(Raw_Data!E68))</f>
        <v>Chair</v>
      </c>
      <c r="F68" t="str">
        <f>IF(TRIM(Raw_Data!F68)="","Review",PROPER(TRIM(Raw_Data!F68)))</f>
        <v>New</v>
      </c>
      <c r="G68">
        <f>Raw_Data!G68</f>
        <v>1</v>
      </c>
      <c r="H68">
        <f>IF(Raw_Data!H68="","",Raw_Data!H68)</f>
        <v>4750.01</v>
      </c>
      <c r="I68">
        <f>IF(Raw_Data!I68="","",Raw_Data!I68)</f>
        <v>-99.96</v>
      </c>
      <c r="J68" t="str">
        <f>IF(TRIM(Raw_Data!J68)="","Review",PROPER(TRIM(Raw_Data!J68)))</f>
        <v>Cash</v>
      </c>
      <c r="K68" t="str">
        <f t="shared" si="1"/>
        <v>OK</v>
      </c>
    </row>
    <row r="69" spans="1:11">
      <c r="A69" t="str">
        <f>Raw_Data!A69</f>
        <v>ORD-0068</v>
      </c>
      <c r="B69" t="s">
        <v>170</v>
      </c>
      <c r="C69" t="str">
        <f>PROPER(TRIM(Raw_Data!C69))</f>
        <v>South</v>
      </c>
      <c r="D69" t="str">
        <f>PROPER(TRIM(Raw_Data!D69))</f>
        <v>Home</v>
      </c>
      <c r="E69" t="str">
        <f>PROPER(TRIM(Raw_Data!E69))</f>
        <v>Cookware Set</v>
      </c>
      <c r="F69" t="str">
        <f>IF(TRIM(Raw_Data!F69)="","Review",PROPER(TRIM(Raw_Data!F69)))</f>
        <v>New</v>
      </c>
      <c r="G69">
        <f>Raw_Data!G69</f>
        <v>4</v>
      </c>
      <c r="H69">
        <f>IF(Raw_Data!H69="","",Raw_Data!H69)</f>
        <v>12188.89</v>
      </c>
      <c r="I69">
        <f>IF(Raw_Data!I69="","",Raw_Data!I69)</f>
        <v>-104.84</v>
      </c>
      <c r="J69" t="str">
        <f>IF(TRIM(Raw_Data!J69)="","Review",PROPER(TRIM(Raw_Data!J69)))</f>
        <v>Cash</v>
      </c>
      <c r="K69" t="str">
        <f t="shared" si="1"/>
        <v>OK</v>
      </c>
    </row>
    <row r="70" spans="1:11">
      <c r="A70" t="str">
        <f>Raw_Data!A70</f>
        <v>ORD-0069</v>
      </c>
      <c r="B70" t="s">
        <v>172</v>
      </c>
      <c r="C70" t="str">
        <f>PROPER(TRIM(Raw_Data!C70))</f>
        <v>East</v>
      </c>
      <c r="D70" t="str">
        <f>PROPER(TRIM(Raw_Data!D70))</f>
        <v>Home</v>
      </c>
      <c r="E70" t="str">
        <f>PROPER(TRIM(Raw_Data!E70))</f>
        <v>Chair</v>
      </c>
      <c r="F70" t="str">
        <f>IF(TRIM(Raw_Data!F70)="","Review",PROPER(TRIM(Raw_Data!F70)))</f>
        <v>Existing</v>
      </c>
      <c r="G70">
        <f>Raw_Data!G70</f>
        <v>1</v>
      </c>
      <c r="H70">
        <f>IF(Raw_Data!H70="","",Raw_Data!H70)</f>
        <v>4766.6000000000004</v>
      </c>
      <c r="I70">
        <f>IF(Raw_Data!I70="","",Raw_Data!I70)</f>
        <v>589.79999999999995</v>
      </c>
      <c r="J70" t="str">
        <f>IF(TRIM(Raw_Data!J70)="","Review",PROPER(TRIM(Raw_Data!J70)))</f>
        <v>Cash</v>
      </c>
      <c r="K70" t="str">
        <f t="shared" si="1"/>
        <v>OK</v>
      </c>
    </row>
    <row r="71" spans="1:11">
      <c r="A71" t="str">
        <f>Raw_Data!A71</f>
        <v>ORD-0070</v>
      </c>
      <c r="B71" t="s">
        <v>174</v>
      </c>
      <c r="C71" t="str">
        <f>PROPER(TRIM(Raw_Data!C71))</f>
        <v>North</v>
      </c>
      <c r="D71" t="str">
        <f>PROPER(TRIM(Raw_Data!D71))</f>
        <v>Electronics</v>
      </c>
      <c r="E71" t="str">
        <f>PROPER(TRIM(Raw_Data!E71))</f>
        <v>Monitor</v>
      </c>
      <c r="F71" t="str">
        <f>IF(TRIM(Raw_Data!F71)="","Review",PROPER(TRIM(Raw_Data!F71)))</f>
        <v>Existing</v>
      </c>
      <c r="G71">
        <f>Raw_Data!G71</f>
        <v>3</v>
      </c>
      <c r="H71">
        <f>IF(Raw_Data!H71="","",Raw_Data!H71)</f>
        <v>32491.1</v>
      </c>
      <c r="I71">
        <f>IF(Raw_Data!I71="","",Raw_Data!I71)</f>
        <v>2314.0500000000002</v>
      </c>
      <c r="J71" t="str">
        <f>IF(TRIM(Raw_Data!J71)="","Review",PROPER(TRIM(Raw_Data!J71)))</f>
        <v>Cash</v>
      </c>
      <c r="K71" t="str">
        <f t="shared" si="1"/>
        <v>OK</v>
      </c>
    </row>
    <row r="72" spans="1:11">
      <c r="A72" t="str">
        <f>Raw_Data!A72</f>
        <v>ORD-0071</v>
      </c>
      <c r="B72" t="s">
        <v>176</v>
      </c>
      <c r="C72" t="str">
        <f>PROPER(TRIM(Raw_Data!C72))</f>
        <v>East</v>
      </c>
      <c r="D72" t="str">
        <f>PROPER(TRIM(Raw_Data!D72))</f>
        <v>Home</v>
      </c>
      <c r="E72" t="str">
        <f>PROPER(TRIM(Raw_Data!E72))</f>
        <v>Cookware Set</v>
      </c>
      <c r="F72" t="str">
        <f>IF(TRIM(Raw_Data!F72)="","Review",PROPER(TRIM(Raw_Data!F72)))</f>
        <v>Existing</v>
      </c>
      <c r="G72">
        <f>Raw_Data!G72</f>
        <v>2</v>
      </c>
      <c r="H72">
        <f>IF(Raw_Data!H72="","",Raw_Data!H72)</f>
        <v>5527.75</v>
      </c>
      <c r="I72">
        <f>IF(Raw_Data!I72="","",Raw_Data!I72)</f>
        <v>1018.03</v>
      </c>
      <c r="J72" t="str">
        <f>IF(TRIM(Raw_Data!J72)="","Review",PROPER(TRIM(Raw_Data!J72)))</f>
        <v>Net Banking</v>
      </c>
      <c r="K72" t="str">
        <f t="shared" si="1"/>
        <v>OK</v>
      </c>
    </row>
    <row r="73" spans="1:11">
      <c r="A73" t="str">
        <f>Raw_Data!A73</f>
        <v>ORD-0072</v>
      </c>
      <c r="B73" t="s">
        <v>178</v>
      </c>
      <c r="C73" t="str">
        <f>PROPER(TRIM(Raw_Data!C73))</f>
        <v>East</v>
      </c>
      <c r="D73" t="str">
        <f>PROPER(TRIM(Raw_Data!D73))</f>
        <v>Clothing</v>
      </c>
      <c r="E73" t="str">
        <f>PROPER(TRIM(Raw_Data!E73))</f>
        <v>Dress</v>
      </c>
      <c r="F73" t="str">
        <f>IF(TRIM(Raw_Data!F73)="","Review",PROPER(TRIM(Raw_Data!F73)))</f>
        <v>Existing</v>
      </c>
      <c r="G73">
        <f>Raw_Data!G73</f>
        <v>3</v>
      </c>
      <c r="H73">
        <f>IF(Raw_Data!H73="","",Raw_Data!H73)</f>
        <v>5497.43</v>
      </c>
      <c r="I73">
        <f>IF(Raw_Data!I73="","",Raw_Data!I73)</f>
        <v>46.06</v>
      </c>
      <c r="J73" t="str">
        <f>IF(TRIM(Raw_Data!J73)="","Review",PROPER(TRIM(Raw_Data!J73)))</f>
        <v>Card</v>
      </c>
      <c r="K73" t="str">
        <f t="shared" si="1"/>
        <v>OK</v>
      </c>
    </row>
    <row r="74" spans="1:11">
      <c r="A74" t="str">
        <f>Raw_Data!A74</f>
        <v>ORD-0073</v>
      </c>
      <c r="B74" t="s">
        <v>180</v>
      </c>
      <c r="C74" t="str">
        <f>PROPER(TRIM(Raw_Data!C74))</f>
        <v>East</v>
      </c>
      <c r="D74" t="str">
        <f>PROPER(TRIM(Raw_Data!D74))</f>
        <v>Clothing</v>
      </c>
      <c r="E74" t="str">
        <f>PROPER(TRIM(Raw_Data!E74))</f>
        <v>Dress</v>
      </c>
      <c r="F74" t="str">
        <f>IF(TRIM(Raw_Data!F74)="","Review",PROPER(TRIM(Raw_Data!F74)))</f>
        <v>New</v>
      </c>
      <c r="G74">
        <f>Raw_Data!G74</f>
        <v>5</v>
      </c>
      <c r="H74">
        <f>IF(Raw_Data!H74="","",Raw_Data!H74)</f>
        <v>9819.56</v>
      </c>
      <c r="I74">
        <f>IF(Raw_Data!I74="","",Raw_Data!I74)</f>
        <v>403.61</v>
      </c>
      <c r="J74" t="str">
        <f>IF(TRIM(Raw_Data!J74)="","Review",PROPER(TRIM(Raw_Data!J74)))</f>
        <v>Net Banking</v>
      </c>
      <c r="K74" t="str">
        <f t="shared" si="1"/>
        <v>OK</v>
      </c>
    </row>
    <row r="75" spans="1:11">
      <c r="A75" t="str">
        <f>Raw_Data!A75</f>
        <v>ORD-0074</v>
      </c>
      <c r="B75" t="s">
        <v>182</v>
      </c>
      <c r="C75" t="str">
        <f>PROPER(TRIM(Raw_Data!C75))</f>
        <v>East</v>
      </c>
      <c r="D75" t="str">
        <f>PROPER(TRIM(Raw_Data!D75))</f>
        <v>Electronics</v>
      </c>
      <c r="E75" t="str">
        <f>PROPER(TRIM(Raw_Data!E75))</f>
        <v>Smartphone</v>
      </c>
      <c r="F75" t="str">
        <f>IF(TRIM(Raw_Data!F75)="","Review",PROPER(TRIM(Raw_Data!F75)))</f>
        <v>New</v>
      </c>
      <c r="G75">
        <f>Raw_Data!G75</f>
        <v>3</v>
      </c>
      <c r="H75">
        <f>IF(Raw_Data!H75="","",Raw_Data!H75)</f>
        <v>81317.69</v>
      </c>
      <c r="I75">
        <f>IF(Raw_Data!I75="","",Raw_Data!I75)</f>
        <v>19265.400000000001</v>
      </c>
      <c r="J75" t="str">
        <f>IF(TRIM(Raw_Data!J75)="","Review",PROPER(TRIM(Raw_Data!J75)))</f>
        <v>Card</v>
      </c>
      <c r="K75" t="str">
        <f t="shared" si="1"/>
        <v>OK</v>
      </c>
    </row>
    <row r="76" spans="1:11">
      <c r="A76" t="str">
        <f>Raw_Data!A76</f>
        <v>ORD-0075</v>
      </c>
      <c r="B76" t="s">
        <v>184</v>
      </c>
      <c r="C76" t="str">
        <f>PROPER(TRIM(Raw_Data!C76))</f>
        <v>West</v>
      </c>
      <c r="D76" t="str">
        <f>PROPER(TRIM(Raw_Data!D76))</f>
        <v>Electronics</v>
      </c>
      <c r="E76" t="str">
        <f>PROPER(TRIM(Raw_Data!E76))</f>
        <v>Headphones</v>
      </c>
      <c r="F76" t="str">
        <f>IF(TRIM(Raw_Data!F76)="","Review",PROPER(TRIM(Raw_Data!F76)))</f>
        <v>Existing</v>
      </c>
      <c r="G76">
        <f>Raw_Data!G76</f>
        <v>4</v>
      </c>
      <c r="H76">
        <f>IF(Raw_Data!H76="","",Raw_Data!H76)</f>
        <v>9977.16</v>
      </c>
      <c r="I76">
        <f>IF(Raw_Data!I76="","",Raw_Data!I76)</f>
        <v>1924.99</v>
      </c>
      <c r="J76" t="str">
        <f>IF(TRIM(Raw_Data!J76)="","Review",PROPER(TRIM(Raw_Data!J76)))</f>
        <v>Net Banking</v>
      </c>
      <c r="K76" t="str">
        <f t="shared" si="1"/>
        <v>OK</v>
      </c>
    </row>
    <row r="77" spans="1:11">
      <c r="A77" t="str">
        <f>Raw_Data!A77</f>
        <v>ORD-0076</v>
      </c>
      <c r="B77" t="s">
        <v>186</v>
      </c>
      <c r="C77" t="str">
        <f>PROPER(TRIM(Raw_Data!C77))</f>
        <v>East</v>
      </c>
      <c r="D77" t="str">
        <f>PROPER(TRIM(Raw_Data!D77))</f>
        <v>Electronics</v>
      </c>
      <c r="E77" t="str">
        <f>PROPER(TRIM(Raw_Data!E77))</f>
        <v>Laptop</v>
      </c>
      <c r="F77" t="str">
        <f>IF(TRIM(Raw_Data!F77)="","Review",PROPER(TRIM(Raw_Data!F77)))</f>
        <v>Existing</v>
      </c>
      <c r="G77">
        <f>Raw_Data!G77</f>
        <v>3</v>
      </c>
      <c r="H77">
        <f>IF(Raw_Data!H77="","",Raw_Data!H77)</f>
        <v>147313.81</v>
      </c>
      <c r="I77">
        <f>IF(Raw_Data!I77="","",Raw_Data!I77)</f>
        <v>24902.42</v>
      </c>
      <c r="J77" t="str">
        <f>IF(TRIM(Raw_Data!J77)="","Review",PROPER(TRIM(Raw_Data!J77)))</f>
        <v>Cash</v>
      </c>
      <c r="K77" t="str">
        <f t="shared" si="1"/>
        <v>OK</v>
      </c>
    </row>
    <row r="78" spans="1:11">
      <c r="A78" t="str">
        <f>Raw_Data!A78</f>
        <v>ORD-0077</v>
      </c>
      <c r="B78" t="s">
        <v>186</v>
      </c>
      <c r="C78" t="str">
        <f>PROPER(TRIM(Raw_Data!C78))</f>
        <v>East</v>
      </c>
      <c r="D78" t="str">
        <f>PROPER(TRIM(Raw_Data!D78))</f>
        <v>Clothing</v>
      </c>
      <c r="E78" t="str">
        <f>PROPER(TRIM(Raw_Data!E78))</f>
        <v>Dress</v>
      </c>
      <c r="F78" t="str">
        <f>IF(TRIM(Raw_Data!F78)="","Review",PROPER(TRIM(Raw_Data!F78)))</f>
        <v>New</v>
      </c>
      <c r="G78">
        <f>Raw_Data!G78</f>
        <v>3</v>
      </c>
      <c r="H78">
        <f>IF(Raw_Data!H78="","",Raw_Data!H78)</f>
        <v>5531.06</v>
      </c>
      <c r="I78">
        <f>IF(Raw_Data!I78="","",Raw_Data!I78)</f>
        <v>461</v>
      </c>
      <c r="J78" t="str">
        <f>IF(TRIM(Raw_Data!J78)="","Review",PROPER(TRIM(Raw_Data!J78)))</f>
        <v>Upi</v>
      </c>
      <c r="K78" t="str">
        <f t="shared" si="1"/>
        <v>OK</v>
      </c>
    </row>
    <row r="79" spans="1:11">
      <c r="A79" t="str">
        <f>Raw_Data!A79</f>
        <v>ORD-0078</v>
      </c>
      <c r="B79" t="s">
        <v>184</v>
      </c>
      <c r="C79" t="str">
        <f>PROPER(TRIM(Raw_Data!C79))</f>
        <v>South</v>
      </c>
      <c r="D79" t="str">
        <f>PROPER(TRIM(Raw_Data!D79))</f>
        <v>Home</v>
      </c>
      <c r="E79" t="str">
        <f>PROPER(TRIM(Raw_Data!E79))</f>
        <v>Desk Lamp</v>
      </c>
      <c r="F79" t="str">
        <f>IF(TRIM(Raw_Data!F79)="","Review",PROPER(TRIM(Raw_Data!F79)))</f>
        <v>New</v>
      </c>
      <c r="G79">
        <f>Raw_Data!G79</f>
        <v>3</v>
      </c>
      <c r="H79">
        <f>IF(Raw_Data!H79="","",Raw_Data!H79)</f>
        <v>2494.56</v>
      </c>
      <c r="I79">
        <f>IF(Raw_Data!I79="","",Raw_Data!I79)</f>
        <v>281.66000000000003</v>
      </c>
      <c r="J79" t="str">
        <f>IF(TRIM(Raw_Data!J79)="","Review",PROPER(TRIM(Raw_Data!J79)))</f>
        <v>Card</v>
      </c>
      <c r="K79" t="str">
        <f t="shared" si="1"/>
        <v>OK</v>
      </c>
    </row>
    <row r="80" spans="1:11">
      <c r="A80" t="str">
        <f>Raw_Data!A80</f>
        <v>ORD-0079</v>
      </c>
      <c r="B80" t="s">
        <v>190</v>
      </c>
      <c r="C80" t="str">
        <f>PROPER(TRIM(Raw_Data!C80))</f>
        <v>East</v>
      </c>
      <c r="D80" t="str">
        <f>PROPER(TRIM(Raw_Data!D80))</f>
        <v>Home</v>
      </c>
      <c r="E80" t="str">
        <f>PROPER(TRIM(Raw_Data!E80))</f>
        <v>Cookware Set</v>
      </c>
      <c r="F80" t="str">
        <f>IF(TRIM(Raw_Data!F80)="","Review",PROPER(TRIM(Raw_Data!F80)))</f>
        <v>New</v>
      </c>
      <c r="G80">
        <f>Raw_Data!G80</f>
        <v>3</v>
      </c>
      <c r="H80">
        <f>IF(Raw_Data!H80="","",Raw_Data!H80)</f>
        <v>8777.2999999999993</v>
      </c>
      <c r="I80">
        <f>IF(Raw_Data!I80="","",Raw_Data!I80)</f>
        <v>2383.73</v>
      </c>
      <c r="J80" t="str">
        <f>IF(TRIM(Raw_Data!J80)="","Review",PROPER(TRIM(Raw_Data!J80)))</f>
        <v>Card</v>
      </c>
      <c r="K80" t="str">
        <f t="shared" si="1"/>
        <v>OK</v>
      </c>
    </row>
    <row r="81" spans="1:11">
      <c r="A81" t="str">
        <f>Raw_Data!A81</f>
        <v>ORD-0080</v>
      </c>
      <c r="B81" t="s">
        <v>192</v>
      </c>
      <c r="C81" t="str">
        <f>PROPER(TRIM(Raw_Data!C81))</f>
        <v>South</v>
      </c>
      <c r="D81" t="str">
        <f>PROPER(TRIM(Raw_Data!D81))</f>
        <v>Clothing</v>
      </c>
      <c r="E81" t="str">
        <f>PROPER(TRIM(Raw_Data!E81))</f>
        <v>T-Shirt</v>
      </c>
      <c r="F81" t="str">
        <f>IF(TRIM(Raw_Data!F81)="","Review",PROPER(TRIM(Raw_Data!F81)))</f>
        <v>Existing</v>
      </c>
      <c r="G81">
        <f>Raw_Data!G81</f>
        <v>3</v>
      </c>
      <c r="H81">
        <f>IF(Raw_Data!H81="","",Raw_Data!H81)</f>
        <v>1965.37</v>
      </c>
      <c r="I81">
        <f>IF(Raw_Data!I81="","",Raw_Data!I81)</f>
        <v>-147.22</v>
      </c>
      <c r="J81" t="str">
        <f>IF(TRIM(Raw_Data!J81)="","Review",PROPER(TRIM(Raw_Data!J81)))</f>
        <v>Upi</v>
      </c>
      <c r="K81" t="str">
        <f t="shared" si="1"/>
        <v>OK</v>
      </c>
    </row>
    <row r="82" spans="1:11">
      <c r="A82" t="str">
        <f>Raw_Data!A82</f>
        <v>ORD-0081</v>
      </c>
      <c r="B82" t="s">
        <v>194</v>
      </c>
      <c r="C82" t="str">
        <f>PROPER(TRIM(Raw_Data!C82))</f>
        <v>North</v>
      </c>
      <c r="D82" t="str">
        <f>PROPER(TRIM(Raw_Data!D82))</f>
        <v>Electronics</v>
      </c>
      <c r="E82" t="str">
        <f>PROPER(TRIM(Raw_Data!E82))</f>
        <v>Monitor</v>
      </c>
      <c r="F82" t="str">
        <f>IF(TRIM(Raw_Data!F82)="","Review",PROPER(TRIM(Raw_Data!F82)))</f>
        <v>New</v>
      </c>
      <c r="G82">
        <f>Raw_Data!G82</f>
        <v>3</v>
      </c>
      <c r="H82">
        <f>IF(Raw_Data!H82="","",Raw_Data!H82)</f>
        <v>37421.410000000003</v>
      </c>
      <c r="I82">
        <f>IF(Raw_Data!I82="","",Raw_Data!I82)</f>
        <v>-1292.51</v>
      </c>
      <c r="J82" t="str">
        <f>IF(TRIM(Raw_Data!J82)="","Review",PROPER(TRIM(Raw_Data!J82)))</f>
        <v>Cash</v>
      </c>
      <c r="K82" t="str">
        <f t="shared" si="1"/>
        <v>OK</v>
      </c>
    </row>
    <row r="83" spans="1:11">
      <c r="A83" t="str">
        <f>Raw_Data!A83</f>
        <v>ORD-0082</v>
      </c>
      <c r="B83" t="s">
        <v>196</v>
      </c>
      <c r="C83" t="str">
        <f>PROPER(TRIM(Raw_Data!C83))</f>
        <v>West</v>
      </c>
      <c r="D83" t="str">
        <f>PROPER(TRIM(Raw_Data!D83))</f>
        <v>Clothing</v>
      </c>
      <c r="E83" t="str">
        <f>PROPER(TRIM(Raw_Data!E83))</f>
        <v>Sneakers</v>
      </c>
      <c r="F83" t="str">
        <f>IF(TRIM(Raw_Data!F83)="","Review",PROPER(TRIM(Raw_Data!F83)))</f>
        <v>New</v>
      </c>
      <c r="G83">
        <f>Raw_Data!G83</f>
        <v>4</v>
      </c>
      <c r="H83">
        <f>IF(Raw_Data!H83="","",Raw_Data!H83)</f>
        <v>13553.98</v>
      </c>
      <c r="I83">
        <f>IF(Raw_Data!I83="","",Raw_Data!I83)</f>
        <v>3626.76</v>
      </c>
      <c r="J83" t="str">
        <f>IF(TRIM(Raw_Data!J83)="","Review",PROPER(TRIM(Raw_Data!J83)))</f>
        <v>Upi</v>
      </c>
      <c r="K83" t="str">
        <f t="shared" si="1"/>
        <v>OK</v>
      </c>
    </row>
    <row r="84" spans="1:11">
      <c r="A84" t="str">
        <f>Raw_Data!A84</f>
        <v>ORD-0083</v>
      </c>
      <c r="B84" t="s">
        <v>198</v>
      </c>
      <c r="C84" t="str">
        <f>PROPER(TRIM(Raw_Data!C84))</f>
        <v>South</v>
      </c>
      <c r="D84" t="str">
        <f>PROPER(TRIM(Raw_Data!D84))</f>
        <v>Clothing</v>
      </c>
      <c r="E84" t="str">
        <f>PROPER(TRIM(Raw_Data!E84))</f>
        <v>Sneakers</v>
      </c>
      <c r="F84" t="str">
        <f>IF(TRIM(Raw_Data!F84)="","Review",PROPER(TRIM(Raw_Data!F84)))</f>
        <v>Existing</v>
      </c>
      <c r="G84">
        <f>Raw_Data!G84</f>
        <v>1</v>
      </c>
      <c r="H84">
        <f>IF(Raw_Data!H84="","",Raw_Data!H84)</f>
        <v>3553.91</v>
      </c>
      <c r="I84">
        <f>IF(Raw_Data!I84="","",Raw_Data!I84)</f>
        <v>593.94000000000005</v>
      </c>
      <c r="J84" t="str">
        <f>IF(TRIM(Raw_Data!J84)="","Review",PROPER(TRIM(Raw_Data!J84)))</f>
        <v>Upi</v>
      </c>
      <c r="K84" t="str">
        <f t="shared" si="1"/>
        <v>OK</v>
      </c>
    </row>
    <row r="85" spans="1:11">
      <c r="A85" t="str">
        <f>Raw_Data!A85</f>
        <v>ORD-0084</v>
      </c>
      <c r="B85" t="s">
        <v>200</v>
      </c>
      <c r="C85" t="str">
        <f>PROPER(TRIM(Raw_Data!C85))</f>
        <v>South</v>
      </c>
      <c r="D85" t="str">
        <f>PROPER(TRIM(Raw_Data!D85))</f>
        <v>Electronics</v>
      </c>
      <c r="E85" t="str">
        <f>PROPER(TRIM(Raw_Data!E85))</f>
        <v>Laptop</v>
      </c>
      <c r="F85" t="str">
        <f>IF(TRIM(Raw_Data!F85)="","Review",PROPER(TRIM(Raw_Data!F85)))</f>
        <v>Existing</v>
      </c>
      <c r="G85">
        <f>Raw_Data!G85</f>
        <v>5</v>
      </c>
      <c r="H85">
        <f>IF(Raw_Data!H85="","",Raw_Data!H85)</f>
        <v>273751.06</v>
      </c>
      <c r="I85">
        <f>IF(Raw_Data!I85="","",Raw_Data!I85)</f>
        <v>37852.75</v>
      </c>
      <c r="J85" t="str">
        <f>IF(TRIM(Raw_Data!J85)="","Review",PROPER(TRIM(Raw_Data!J85)))</f>
        <v>Net Banking</v>
      </c>
      <c r="K85" t="str">
        <f t="shared" si="1"/>
        <v>OK</v>
      </c>
    </row>
    <row r="86" spans="1:11">
      <c r="A86" t="str">
        <f>Raw_Data!A86</f>
        <v>ORD-0085</v>
      </c>
      <c r="B86" t="s">
        <v>202</v>
      </c>
      <c r="C86" t="str">
        <f>PROPER(TRIM(Raw_Data!C86))</f>
        <v>North</v>
      </c>
      <c r="D86" t="str">
        <f>PROPER(TRIM(Raw_Data!D86))</f>
        <v>Clothing</v>
      </c>
      <c r="E86" t="str">
        <f>PROPER(TRIM(Raw_Data!E86))</f>
        <v>Jeans</v>
      </c>
      <c r="F86" t="str">
        <f>IF(TRIM(Raw_Data!F86)="","Review",PROPER(TRIM(Raw_Data!F86)))</f>
        <v>New</v>
      </c>
      <c r="G86">
        <f>Raw_Data!G86</f>
        <v>5</v>
      </c>
      <c r="H86">
        <f>IF(Raw_Data!H86="","",Raw_Data!H86)</f>
        <v>8784.0499999999993</v>
      </c>
      <c r="I86">
        <f>IF(Raw_Data!I86="","",Raw_Data!I86)</f>
        <v>262.97000000000003</v>
      </c>
      <c r="J86" t="str">
        <f>IF(TRIM(Raw_Data!J86)="","Review",PROPER(TRIM(Raw_Data!J86)))</f>
        <v>Card</v>
      </c>
      <c r="K86" t="str">
        <f t="shared" si="1"/>
        <v>OK</v>
      </c>
    </row>
    <row r="87" spans="1:11">
      <c r="A87" t="str">
        <f>Raw_Data!A87</f>
        <v>ORD-0086</v>
      </c>
      <c r="B87" t="s">
        <v>204</v>
      </c>
      <c r="C87" t="str">
        <f>PROPER(TRIM(Raw_Data!C87))</f>
        <v>North</v>
      </c>
      <c r="D87" t="str">
        <f>PROPER(TRIM(Raw_Data!D87))</f>
        <v>Home</v>
      </c>
      <c r="E87" t="str">
        <f>PROPER(TRIM(Raw_Data!E87))</f>
        <v>Desk Lamp</v>
      </c>
      <c r="F87" t="str">
        <f>IF(TRIM(Raw_Data!F87)="","Review",PROPER(TRIM(Raw_Data!F87)))</f>
        <v>New</v>
      </c>
      <c r="G87">
        <f>Raw_Data!G87</f>
        <v>3</v>
      </c>
      <c r="H87">
        <f>IF(Raw_Data!H87="","",Raw_Data!H87)</f>
        <v>2786.63</v>
      </c>
      <c r="I87">
        <f>IF(Raw_Data!I87="","",Raw_Data!I87)</f>
        <v>-65.37</v>
      </c>
      <c r="J87" t="str">
        <f>IF(TRIM(Raw_Data!J87)="","Review",PROPER(TRIM(Raw_Data!J87)))</f>
        <v>Upi</v>
      </c>
      <c r="K87" t="str">
        <f t="shared" si="1"/>
        <v>OK</v>
      </c>
    </row>
    <row r="88" spans="1:11">
      <c r="A88" t="str">
        <f>Raw_Data!A88</f>
        <v>ORD-0087</v>
      </c>
      <c r="B88" t="s">
        <v>206</v>
      </c>
      <c r="C88" t="str">
        <f>PROPER(TRIM(Raw_Data!C88))</f>
        <v>East</v>
      </c>
      <c r="D88" t="str">
        <f>PROPER(TRIM(Raw_Data!D88))</f>
        <v>Clothing</v>
      </c>
      <c r="E88" t="str">
        <f>PROPER(TRIM(Raw_Data!E88))</f>
        <v>Sneakers</v>
      </c>
      <c r="F88" t="str">
        <f>IF(TRIM(Raw_Data!F88)="","Review",PROPER(TRIM(Raw_Data!F88)))</f>
        <v>Existing</v>
      </c>
      <c r="G88">
        <f>Raw_Data!G88</f>
        <v>5</v>
      </c>
      <c r="H88">
        <f>IF(Raw_Data!H88="","",Raw_Data!H88)</f>
        <v>17394.689999999999</v>
      </c>
      <c r="I88">
        <f>IF(Raw_Data!I88="","",Raw_Data!I88)</f>
        <v>-1187.18</v>
      </c>
      <c r="J88" t="str">
        <f>IF(TRIM(Raw_Data!J88)="","Review",PROPER(TRIM(Raw_Data!J88)))</f>
        <v>Upi</v>
      </c>
      <c r="K88" t="str">
        <f t="shared" si="1"/>
        <v>OK</v>
      </c>
    </row>
    <row r="89" spans="1:11">
      <c r="A89" t="str">
        <f>Raw_Data!A89</f>
        <v>ORD-0088</v>
      </c>
      <c r="B89" t="s">
        <v>208</v>
      </c>
      <c r="C89" t="str">
        <f>PROPER(TRIM(Raw_Data!C89))</f>
        <v>South</v>
      </c>
      <c r="D89" t="str">
        <f>PROPER(TRIM(Raw_Data!D89))</f>
        <v>Home</v>
      </c>
      <c r="E89" t="str">
        <f>PROPER(TRIM(Raw_Data!E89))</f>
        <v>Desk Lamp</v>
      </c>
      <c r="F89" t="str">
        <f>IF(TRIM(Raw_Data!F89)="","Review",PROPER(TRIM(Raw_Data!F89)))</f>
        <v>Existing</v>
      </c>
      <c r="G89">
        <f>Raw_Data!G89</f>
        <v>3</v>
      </c>
      <c r="H89">
        <f>IF(Raw_Data!H89="","",Raw_Data!H89)</f>
        <v>2855.43</v>
      </c>
      <c r="I89">
        <f>IF(Raw_Data!I89="","",Raw_Data!I89)</f>
        <v>414.1</v>
      </c>
      <c r="J89" t="str">
        <f>IF(TRIM(Raw_Data!J89)="","Review",PROPER(TRIM(Raw_Data!J89)))</f>
        <v>Upi</v>
      </c>
      <c r="K89" t="str">
        <f t="shared" si="1"/>
        <v>OK</v>
      </c>
    </row>
    <row r="90" spans="1:11">
      <c r="A90" t="str">
        <f>Raw_Data!A90</f>
        <v>ORD-0089</v>
      </c>
      <c r="B90" t="s">
        <v>210</v>
      </c>
      <c r="C90" t="str">
        <f>PROPER(TRIM(Raw_Data!C90))</f>
        <v>North</v>
      </c>
      <c r="D90" t="str">
        <f>PROPER(TRIM(Raw_Data!D90))</f>
        <v>Home</v>
      </c>
      <c r="E90" t="str">
        <f>PROPER(TRIM(Raw_Data!E90))</f>
        <v>Desk Lamp</v>
      </c>
      <c r="F90" t="str">
        <f>IF(TRIM(Raw_Data!F90)="","Review",PROPER(TRIM(Raw_Data!F90)))</f>
        <v>New</v>
      </c>
      <c r="G90">
        <f>Raw_Data!G90</f>
        <v>2</v>
      </c>
      <c r="H90">
        <f>IF(Raw_Data!H90="","",Raw_Data!H90)</f>
        <v>1947.03</v>
      </c>
      <c r="I90">
        <f>IF(Raw_Data!I90="","",Raw_Data!I90)</f>
        <v>423.65</v>
      </c>
      <c r="J90" t="str">
        <f>IF(TRIM(Raw_Data!J90)="","Review",PROPER(TRIM(Raw_Data!J90)))</f>
        <v>Cash</v>
      </c>
      <c r="K90" t="str">
        <f t="shared" si="1"/>
        <v>OK</v>
      </c>
    </row>
    <row r="91" spans="1:11">
      <c r="A91" t="str">
        <f>Raw_Data!A91</f>
        <v>ORD-0090</v>
      </c>
      <c r="B91" t="s">
        <v>212</v>
      </c>
      <c r="C91" t="str">
        <f>PROPER(TRIM(Raw_Data!C91))</f>
        <v>West</v>
      </c>
      <c r="D91" t="str">
        <f>PROPER(TRIM(Raw_Data!D91))</f>
        <v>Home</v>
      </c>
      <c r="E91" t="str">
        <f>PROPER(TRIM(Raw_Data!E91))</f>
        <v>Chair</v>
      </c>
      <c r="F91" t="str">
        <f>IF(TRIM(Raw_Data!F91)="","Review",PROPER(TRIM(Raw_Data!F91)))</f>
        <v>Existing</v>
      </c>
      <c r="G91">
        <f>Raw_Data!G91</f>
        <v>3</v>
      </c>
      <c r="H91">
        <f>IF(Raw_Data!H91="","",Raw_Data!H91)</f>
        <v>13335.71</v>
      </c>
      <c r="I91">
        <f>IF(Raw_Data!I91="","",Raw_Data!I91)</f>
        <v>1183.29</v>
      </c>
      <c r="J91" t="str">
        <f>IF(TRIM(Raw_Data!J91)="","Review",PROPER(TRIM(Raw_Data!J91)))</f>
        <v>Net Banking</v>
      </c>
      <c r="K91" t="str">
        <f t="shared" si="1"/>
        <v>OK</v>
      </c>
    </row>
    <row r="92" spans="1:11">
      <c r="A92" t="str">
        <f>Raw_Data!A92</f>
        <v>ORD-0091</v>
      </c>
      <c r="B92" t="s">
        <v>214</v>
      </c>
      <c r="C92" t="str">
        <f>PROPER(TRIM(Raw_Data!C92))</f>
        <v>East</v>
      </c>
      <c r="D92" t="str">
        <f>PROPER(TRIM(Raw_Data!D92))</f>
        <v>Clothing</v>
      </c>
      <c r="E92" t="str">
        <f>PROPER(TRIM(Raw_Data!E92))</f>
        <v>Jacket</v>
      </c>
      <c r="F92" t="str">
        <f>IF(TRIM(Raw_Data!F92)="","Review",PROPER(TRIM(Raw_Data!F92)))</f>
        <v>Review</v>
      </c>
      <c r="G92">
        <f>Raw_Data!G92</f>
        <v>5</v>
      </c>
      <c r="H92">
        <f>IF(Raw_Data!H92="","",Raw_Data!H92)</f>
        <v>9987.69</v>
      </c>
      <c r="I92">
        <f>IF(Raw_Data!I92="","",Raw_Data!I92)</f>
        <v>754.37</v>
      </c>
      <c r="J92" t="str">
        <f>IF(TRIM(Raw_Data!J92)="","Review",PROPER(TRIM(Raw_Data!J92)))</f>
        <v>Upi</v>
      </c>
      <c r="K92" t="str">
        <f t="shared" si="1"/>
        <v>Review</v>
      </c>
    </row>
    <row r="93" spans="1:11">
      <c r="A93" t="str">
        <f>Raw_Data!A93</f>
        <v>ORD-0092</v>
      </c>
      <c r="B93" t="s">
        <v>216</v>
      </c>
      <c r="C93" t="str">
        <f>PROPER(TRIM(Raw_Data!C93))</f>
        <v>East</v>
      </c>
      <c r="D93" t="str">
        <f>PROPER(TRIM(Raw_Data!D93))</f>
        <v>Electronics</v>
      </c>
      <c r="E93" t="str">
        <f>PROPER(TRIM(Raw_Data!E93))</f>
        <v>Monitor</v>
      </c>
      <c r="F93" t="str">
        <f>IF(TRIM(Raw_Data!F93)="","Review",PROPER(TRIM(Raw_Data!F93)))</f>
        <v>New</v>
      </c>
      <c r="G93">
        <f>Raw_Data!G93</f>
        <v>5</v>
      </c>
      <c r="H93">
        <f>IF(Raw_Data!H93="","",Raw_Data!H93)</f>
        <v>65409.440000000002</v>
      </c>
      <c r="I93">
        <f>IF(Raw_Data!I93="","",Raw_Data!I93)</f>
        <v>18304.57</v>
      </c>
      <c r="J93" t="str">
        <f>IF(TRIM(Raw_Data!J93)="","Review",PROPER(TRIM(Raw_Data!J93)))</f>
        <v>Card</v>
      </c>
      <c r="K93" t="str">
        <f t="shared" si="1"/>
        <v>OK</v>
      </c>
    </row>
    <row r="94" spans="1:11">
      <c r="A94" t="str">
        <f>Raw_Data!A94</f>
        <v>ORD-0093</v>
      </c>
      <c r="B94" t="s">
        <v>87</v>
      </c>
      <c r="C94" t="str">
        <f>PROPER(TRIM(Raw_Data!C94))</f>
        <v>West</v>
      </c>
      <c r="D94" t="str">
        <f>PROPER(TRIM(Raw_Data!D94))</f>
        <v>Clothing</v>
      </c>
      <c r="E94" t="str">
        <f>PROPER(TRIM(Raw_Data!E94))</f>
        <v>Dress</v>
      </c>
      <c r="F94" t="str">
        <f>IF(TRIM(Raw_Data!F94)="","Review",PROPER(TRIM(Raw_Data!F94)))</f>
        <v>Existing</v>
      </c>
      <c r="G94">
        <f>Raw_Data!G94</f>
        <v>4</v>
      </c>
      <c r="H94">
        <f>IF(Raw_Data!H94="","",Raw_Data!H94)</f>
        <v>8232.43</v>
      </c>
      <c r="I94">
        <f>IF(Raw_Data!I94="","",Raw_Data!I94)</f>
        <v>-120.72</v>
      </c>
      <c r="J94" t="str">
        <f>IF(TRIM(Raw_Data!J94)="","Review",PROPER(TRIM(Raw_Data!J94)))</f>
        <v>Upi</v>
      </c>
      <c r="K94" t="str">
        <f t="shared" si="1"/>
        <v>OK</v>
      </c>
    </row>
    <row r="95" spans="1:11">
      <c r="A95" t="str">
        <f>Raw_Data!A95</f>
        <v>ORD-0094</v>
      </c>
      <c r="B95" t="s">
        <v>219</v>
      </c>
      <c r="C95" t="str">
        <f>PROPER(TRIM(Raw_Data!C95))</f>
        <v>East</v>
      </c>
      <c r="D95" t="str">
        <f>PROPER(TRIM(Raw_Data!D95))</f>
        <v>Clothing</v>
      </c>
      <c r="E95" t="str">
        <f>PROPER(TRIM(Raw_Data!E95))</f>
        <v>Jeans</v>
      </c>
      <c r="F95" t="str">
        <f>IF(TRIM(Raw_Data!F95)="","Review",PROPER(TRIM(Raw_Data!F95)))</f>
        <v>Existing</v>
      </c>
      <c r="G95">
        <f>Raw_Data!G95</f>
        <v>4</v>
      </c>
      <c r="H95">
        <f>IF(Raw_Data!H95="","",Raw_Data!H95)</f>
        <v>6186.63</v>
      </c>
      <c r="I95">
        <f>IF(Raw_Data!I95="","",Raw_Data!I95)</f>
        <v>997.58</v>
      </c>
      <c r="J95" t="str">
        <f>IF(TRIM(Raw_Data!J95)="","Review",PROPER(TRIM(Raw_Data!J95)))</f>
        <v>Net Banking</v>
      </c>
      <c r="K95" t="str">
        <f t="shared" si="1"/>
        <v>OK</v>
      </c>
    </row>
    <row r="96" spans="1:11">
      <c r="A96" t="str">
        <f>Raw_Data!A96</f>
        <v>ORD-0095</v>
      </c>
      <c r="B96" t="s">
        <v>196</v>
      </c>
      <c r="C96" t="str">
        <f>PROPER(TRIM(Raw_Data!C96))</f>
        <v>East</v>
      </c>
      <c r="D96" t="str">
        <f>PROPER(TRIM(Raw_Data!D96))</f>
        <v>Clothing</v>
      </c>
      <c r="E96" t="str">
        <f>PROPER(TRIM(Raw_Data!E96))</f>
        <v>Sneakers</v>
      </c>
      <c r="F96" t="str">
        <f>IF(TRIM(Raw_Data!F96)="","Review",PROPER(TRIM(Raw_Data!F96)))</f>
        <v>New</v>
      </c>
      <c r="G96">
        <f>Raw_Data!G96</f>
        <v>5</v>
      </c>
      <c r="H96">
        <f>IF(Raw_Data!H96="","",Raw_Data!H96)</f>
        <v>15878.44</v>
      </c>
      <c r="I96">
        <f>IF(Raw_Data!I96="","",Raw_Data!I96)</f>
        <v>-766.9</v>
      </c>
      <c r="J96" t="str">
        <f>IF(TRIM(Raw_Data!J96)="","Review",PROPER(TRIM(Raw_Data!J96)))</f>
        <v>Net Banking</v>
      </c>
      <c r="K96" t="str">
        <f t="shared" si="1"/>
        <v>OK</v>
      </c>
    </row>
    <row r="97" spans="1:11">
      <c r="A97" t="str">
        <f>Raw_Data!A97</f>
        <v>ORD-0096</v>
      </c>
      <c r="B97" t="s">
        <v>222</v>
      </c>
      <c r="C97" t="str">
        <f>PROPER(TRIM(Raw_Data!C97))</f>
        <v>East</v>
      </c>
      <c r="D97" t="str">
        <f>PROPER(TRIM(Raw_Data!D97))</f>
        <v>Home</v>
      </c>
      <c r="E97" t="str">
        <f>PROPER(TRIM(Raw_Data!E97))</f>
        <v>Blender</v>
      </c>
      <c r="F97" t="str">
        <f>IF(TRIM(Raw_Data!F97)="","Review",PROPER(TRIM(Raw_Data!F97)))</f>
        <v>Existing</v>
      </c>
      <c r="G97">
        <f>Raw_Data!G97</f>
        <v>5</v>
      </c>
      <c r="H97">
        <f>IF(Raw_Data!H97="","",Raw_Data!H97)</f>
        <v>15878.32</v>
      </c>
      <c r="I97">
        <f>IF(Raw_Data!I97="","",Raw_Data!I97)</f>
        <v>-960.42</v>
      </c>
      <c r="J97" t="str">
        <f>IF(TRIM(Raw_Data!J97)="","Review",PROPER(TRIM(Raw_Data!J97)))</f>
        <v>Net Banking</v>
      </c>
      <c r="K97" t="str">
        <f t="shared" si="1"/>
        <v>OK</v>
      </c>
    </row>
    <row r="98" spans="1:11">
      <c r="A98" t="str">
        <f>Raw_Data!A98</f>
        <v>ORD-0097</v>
      </c>
      <c r="B98" t="s">
        <v>224</v>
      </c>
      <c r="C98" t="str">
        <f>PROPER(TRIM(Raw_Data!C98))</f>
        <v>West</v>
      </c>
      <c r="D98" t="str">
        <f>PROPER(TRIM(Raw_Data!D98))</f>
        <v>Electronics</v>
      </c>
      <c r="E98" t="str">
        <f>PROPER(TRIM(Raw_Data!E98))</f>
        <v>Headphones</v>
      </c>
      <c r="F98" t="str">
        <f>IF(TRIM(Raw_Data!F98)="","Review",PROPER(TRIM(Raw_Data!F98)))</f>
        <v>New</v>
      </c>
      <c r="G98">
        <f>Raw_Data!G98</f>
        <v>3</v>
      </c>
      <c r="H98">
        <f>IF(Raw_Data!H98="","",Raw_Data!H98)</f>
        <v>7573.83</v>
      </c>
      <c r="I98">
        <f>IF(Raw_Data!I98="","",Raw_Data!I98)</f>
        <v>1923.47</v>
      </c>
      <c r="J98" t="str">
        <f>IF(TRIM(Raw_Data!J98)="","Review",PROPER(TRIM(Raw_Data!J98)))</f>
        <v>Upi</v>
      </c>
      <c r="K98" t="str">
        <f t="shared" si="1"/>
        <v>OK</v>
      </c>
    </row>
    <row r="99" spans="1:11">
      <c r="A99" t="str">
        <f>Raw_Data!A99</f>
        <v>ORD-0098</v>
      </c>
      <c r="B99" t="s">
        <v>226</v>
      </c>
      <c r="C99" t="str">
        <f>PROPER(TRIM(Raw_Data!C99))</f>
        <v>West</v>
      </c>
      <c r="D99" t="str">
        <f>PROPER(TRIM(Raw_Data!D99))</f>
        <v>Home</v>
      </c>
      <c r="E99" t="str">
        <f>PROPER(TRIM(Raw_Data!E99))</f>
        <v>Chair</v>
      </c>
      <c r="F99" t="str">
        <f>IF(TRIM(Raw_Data!F99)="","Review",PROPER(TRIM(Raw_Data!F99)))</f>
        <v>New</v>
      </c>
      <c r="G99">
        <f>Raw_Data!G99</f>
        <v>2</v>
      </c>
      <c r="H99">
        <f>IF(Raw_Data!H99="","",Raw_Data!H99)</f>
        <v>9377.61</v>
      </c>
      <c r="I99">
        <f>IF(Raw_Data!I99="","",Raw_Data!I99)</f>
        <v>298.86</v>
      </c>
      <c r="J99" t="str">
        <f>IF(TRIM(Raw_Data!J99)="","Review",PROPER(TRIM(Raw_Data!J99)))</f>
        <v>Card</v>
      </c>
      <c r="K99" t="str">
        <f t="shared" si="1"/>
        <v>OK</v>
      </c>
    </row>
    <row r="100" spans="1:11">
      <c r="A100" t="str">
        <f>Raw_Data!A100</f>
        <v>ORD-0099</v>
      </c>
      <c r="B100" t="s">
        <v>228</v>
      </c>
      <c r="C100" t="str">
        <f>PROPER(TRIM(Raw_Data!C100))</f>
        <v>East</v>
      </c>
      <c r="D100" t="str">
        <f>PROPER(TRIM(Raw_Data!D100))</f>
        <v>Electronics</v>
      </c>
      <c r="E100" t="str">
        <f>PROPER(TRIM(Raw_Data!E100))</f>
        <v>Keyboard</v>
      </c>
      <c r="F100" t="str">
        <f>IF(TRIM(Raw_Data!F100)="","Review",PROPER(TRIM(Raw_Data!F100)))</f>
        <v>Existing</v>
      </c>
      <c r="G100">
        <f>Raw_Data!G100</f>
        <v>1</v>
      </c>
      <c r="H100">
        <f>IF(Raw_Data!H100="","",Raw_Data!H100)</f>
        <v>1853.18</v>
      </c>
      <c r="I100">
        <f>IF(Raw_Data!I100="","",Raw_Data!I100)</f>
        <v>-45.53</v>
      </c>
      <c r="J100" t="str">
        <f>IF(TRIM(Raw_Data!J100)="","Review",PROPER(TRIM(Raw_Data!J100)))</f>
        <v>Net Banking</v>
      </c>
      <c r="K100" t="str">
        <f t="shared" si="1"/>
        <v>OK</v>
      </c>
    </row>
    <row r="101" spans="1:11">
      <c r="A101" t="str">
        <f>Raw_Data!A101</f>
        <v>ORD-0100</v>
      </c>
      <c r="B101" t="s">
        <v>230</v>
      </c>
      <c r="C101" t="str">
        <f>PROPER(TRIM(Raw_Data!C101))</f>
        <v>South</v>
      </c>
      <c r="D101" t="str">
        <f>PROPER(TRIM(Raw_Data!D101))</f>
        <v>Clothing</v>
      </c>
      <c r="E101" t="str">
        <f>PROPER(TRIM(Raw_Data!E101))</f>
        <v>T-Shirt</v>
      </c>
      <c r="F101" t="str">
        <f>IF(TRIM(Raw_Data!F101)="","Review",PROPER(TRIM(Raw_Data!F101)))</f>
        <v>New</v>
      </c>
      <c r="G101">
        <f>Raw_Data!G101</f>
        <v>4</v>
      </c>
      <c r="H101">
        <f>IF(Raw_Data!H101="","",Raw_Data!H101)</f>
        <v>2828.71</v>
      </c>
      <c r="I101">
        <f>IF(Raw_Data!I101="","",Raw_Data!I101)</f>
        <v>164.32</v>
      </c>
      <c r="J101" t="str">
        <f>IF(TRIM(Raw_Data!J101)="","Review",PROPER(TRIM(Raw_Data!J101)))</f>
        <v>Cash</v>
      </c>
      <c r="K101" t="str">
        <f t="shared" si="1"/>
        <v>OK</v>
      </c>
    </row>
    <row r="102" spans="1:11">
      <c r="A102" t="str">
        <f>Raw_Data!A102</f>
        <v>ORD-0101</v>
      </c>
      <c r="B102" t="s">
        <v>232</v>
      </c>
      <c r="C102" t="str">
        <f>PROPER(TRIM(Raw_Data!C102))</f>
        <v>West</v>
      </c>
      <c r="D102" t="str">
        <f>PROPER(TRIM(Raw_Data!D102))</f>
        <v>Clothing</v>
      </c>
      <c r="E102" t="str">
        <f>PROPER(TRIM(Raw_Data!E102))</f>
        <v>Jeans</v>
      </c>
      <c r="F102" t="str">
        <f>IF(TRIM(Raw_Data!F102)="","Review",PROPER(TRIM(Raw_Data!F102)))</f>
        <v>New</v>
      </c>
      <c r="G102">
        <f>Raw_Data!G102</f>
        <v>5</v>
      </c>
      <c r="H102">
        <f>IF(Raw_Data!H102="","",Raw_Data!H102)</f>
        <v>7627.48</v>
      </c>
      <c r="I102">
        <f>IF(Raw_Data!I102="","",Raw_Data!I102)</f>
        <v>-603.15</v>
      </c>
      <c r="J102" t="str">
        <f>IF(TRIM(Raw_Data!J102)="","Review",PROPER(TRIM(Raw_Data!J102)))</f>
        <v>Net Banking</v>
      </c>
      <c r="K102" t="str">
        <f t="shared" si="1"/>
        <v>OK</v>
      </c>
    </row>
    <row r="103" spans="1:11">
      <c r="A103" t="str">
        <f>Raw_Data!A103</f>
        <v>ORD-0102</v>
      </c>
      <c r="B103" t="s">
        <v>234</v>
      </c>
      <c r="C103" t="str">
        <f>PROPER(TRIM(Raw_Data!C103))</f>
        <v>West</v>
      </c>
      <c r="D103" t="str">
        <f>PROPER(TRIM(Raw_Data!D103))</f>
        <v>Home</v>
      </c>
      <c r="E103" t="str">
        <f>PROPER(TRIM(Raw_Data!E103))</f>
        <v>Cookware Set</v>
      </c>
      <c r="F103" t="str">
        <f>IF(TRIM(Raw_Data!F103)="","Review",PROPER(TRIM(Raw_Data!F103)))</f>
        <v>Existing</v>
      </c>
      <c r="G103">
        <f>Raw_Data!G103</f>
        <v>3</v>
      </c>
      <c r="H103">
        <f>IF(Raw_Data!H103="","",Raw_Data!H103)</f>
        <v>8118.5</v>
      </c>
      <c r="I103">
        <f>IF(Raw_Data!I103="","",Raw_Data!I103)</f>
        <v>1580.14</v>
      </c>
      <c r="J103" t="str">
        <f>IF(TRIM(Raw_Data!J103)="","Review",PROPER(TRIM(Raw_Data!J103)))</f>
        <v>Card</v>
      </c>
      <c r="K103" t="str">
        <f t="shared" si="1"/>
        <v>OK</v>
      </c>
    </row>
    <row r="104" spans="1:11">
      <c r="A104" t="str">
        <f>Raw_Data!A104</f>
        <v>ORD-0103</v>
      </c>
      <c r="B104" t="s">
        <v>116</v>
      </c>
      <c r="C104" t="str">
        <f>PROPER(TRIM(Raw_Data!C104))</f>
        <v>North</v>
      </c>
      <c r="D104" t="str">
        <f>PROPER(TRIM(Raw_Data!D104))</f>
        <v>Home</v>
      </c>
      <c r="E104" t="str">
        <f>PROPER(TRIM(Raw_Data!E104))</f>
        <v>Desk Lamp</v>
      </c>
      <c r="F104" t="str">
        <f>IF(TRIM(Raw_Data!F104)="","Review",PROPER(TRIM(Raw_Data!F104)))</f>
        <v>Existing</v>
      </c>
      <c r="G104">
        <f>Raw_Data!G104</f>
        <v>5</v>
      </c>
      <c r="H104">
        <f>IF(Raw_Data!H104="","",Raw_Data!H104)</f>
        <v>4394.67</v>
      </c>
      <c r="I104">
        <f>IF(Raw_Data!I104="","",Raw_Data!I104)</f>
        <v>1002.71</v>
      </c>
      <c r="J104" t="str">
        <f>IF(TRIM(Raw_Data!J104)="","Review",PROPER(TRIM(Raw_Data!J104)))</f>
        <v>Net Banking</v>
      </c>
      <c r="K104" t="str">
        <f t="shared" si="1"/>
        <v>OK</v>
      </c>
    </row>
    <row r="105" spans="1:11">
      <c r="A105" t="str">
        <f>Raw_Data!A105</f>
        <v>ORD-0104</v>
      </c>
      <c r="B105" t="s">
        <v>176</v>
      </c>
      <c r="C105" t="str">
        <f>PROPER(TRIM(Raw_Data!C105))</f>
        <v>South</v>
      </c>
      <c r="D105" t="str">
        <f>PROPER(TRIM(Raw_Data!D105))</f>
        <v>Home</v>
      </c>
      <c r="E105" t="str">
        <f>PROPER(TRIM(Raw_Data!E105))</f>
        <v>Cookware Set</v>
      </c>
      <c r="F105" t="str">
        <f>IF(TRIM(Raw_Data!F105)="","Review",PROPER(TRIM(Raw_Data!F105)))</f>
        <v>Existing</v>
      </c>
      <c r="G105">
        <f>Raw_Data!G105</f>
        <v>4</v>
      </c>
      <c r="H105">
        <f>IF(Raw_Data!H105="","",Raw_Data!H105)</f>
        <v>12294.05</v>
      </c>
      <c r="I105">
        <f>IF(Raw_Data!I105="","",Raw_Data!I105)</f>
        <v>2523.5</v>
      </c>
      <c r="J105" t="str">
        <f>IF(TRIM(Raw_Data!J105)="","Review",PROPER(TRIM(Raw_Data!J105)))</f>
        <v>Upi</v>
      </c>
      <c r="K105" t="str">
        <f t="shared" si="1"/>
        <v>OK</v>
      </c>
    </row>
    <row r="106" spans="1:11">
      <c r="A106" t="str">
        <f>Raw_Data!A106</f>
        <v>ORD-0105</v>
      </c>
      <c r="B106" t="s">
        <v>238</v>
      </c>
      <c r="C106" t="str">
        <f>PROPER(TRIM(Raw_Data!C106))</f>
        <v>North</v>
      </c>
      <c r="D106" t="str">
        <f>PROPER(TRIM(Raw_Data!D106))</f>
        <v>Electronics</v>
      </c>
      <c r="E106" t="str">
        <f>PROPER(TRIM(Raw_Data!E106))</f>
        <v>Monitor</v>
      </c>
      <c r="F106" t="str">
        <f>IF(TRIM(Raw_Data!F106)="","Review",PROPER(TRIM(Raw_Data!F106)))</f>
        <v>Existing</v>
      </c>
      <c r="G106">
        <f>Raw_Data!G106</f>
        <v>5</v>
      </c>
      <c r="H106">
        <f>IF(Raw_Data!H106="","",Raw_Data!H106)</f>
        <v>57983.94</v>
      </c>
      <c r="I106">
        <f>IF(Raw_Data!I106="","",Raw_Data!I106)</f>
        <v>-2543.6799999999998</v>
      </c>
      <c r="J106" t="str">
        <f>IF(TRIM(Raw_Data!J106)="","Review",PROPER(TRIM(Raw_Data!J106)))</f>
        <v>Upi</v>
      </c>
      <c r="K106" t="str">
        <f t="shared" si="1"/>
        <v>OK</v>
      </c>
    </row>
    <row r="107" spans="1:11">
      <c r="A107" t="str">
        <f>Raw_Data!A107</f>
        <v>ORD-0106</v>
      </c>
      <c r="B107" t="s">
        <v>240</v>
      </c>
      <c r="C107" t="str">
        <f>PROPER(TRIM(Raw_Data!C107))</f>
        <v>West</v>
      </c>
      <c r="D107" t="str">
        <f>PROPER(TRIM(Raw_Data!D107))</f>
        <v>Home</v>
      </c>
      <c r="E107" t="str">
        <f>PROPER(TRIM(Raw_Data!E107))</f>
        <v>Desk Lamp</v>
      </c>
      <c r="F107" t="str">
        <f>IF(TRIM(Raw_Data!F107)="","Review",PROPER(TRIM(Raw_Data!F107)))</f>
        <v>Existing</v>
      </c>
      <c r="G107">
        <f>Raw_Data!G107</f>
        <v>4</v>
      </c>
      <c r="H107">
        <f>IF(Raw_Data!H107="","",Raw_Data!H107)</f>
        <v>3867.07</v>
      </c>
      <c r="I107">
        <f>IF(Raw_Data!I107="","",Raw_Data!I107)</f>
        <v>1040.96</v>
      </c>
      <c r="J107" t="str">
        <f>IF(TRIM(Raw_Data!J107)="","Review",PROPER(TRIM(Raw_Data!J107)))</f>
        <v>Cash</v>
      </c>
      <c r="K107" t="str">
        <f t="shared" si="1"/>
        <v>OK</v>
      </c>
    </row>
    <row r="108" spans="1:11">
      <c r="A108" t="str">
        <f>Raw_Data!A108</f>
        <v>ORD-0107</v>
      </c>
      <c r="B108" t="s">
        <v>192</v>
      </c>
      <c r="C108" t="str">
        <f>PROPER(TRIM(Raw_Data!C108))</f>
        <v>West</v>
      </c>
      <c r="D108" t="str">
        <f>PROPER(TRIM(Raw_Data!D108))</f>
        <v>Home</v>
      </c>
      <c r="E108" t="str">
        <f>PROPER(TRIM(Raw_Data!E108))</f>
        <v>Cookware Set</v>
      </c>
      <c r="F108" t="str">
        <f>IF(TRIM(Raw_Data!F108)="","Review",PROPER(TRIM(Raw_Data!F108)))</f>
        <v>Existing</v>
      </c>
      <c r="G108">
        <f>Raw_Data!G108</f>
        <v>1</v>
      </c>
      <c r="H108">
        <f>IF(Raw_Data!H108="","",Raw_Data!H108)</f>
        <v>2996.99</v>
      </c>
      <c r="I108">
        <f>IF(Raw_Data!I108="","",Raw_Data!I108)</f>
        <v>679.85</v>
      </c>
      <c r="J108" t="str">
        <f>IF(TRIM(Raw_Data!J108)="","Review",PROPER(TRIM(Raw_Data!J108)))</f>
        <v>Net Banking</v>
      </c>
      <c r="K108" t="str">
        <f t="shared" si="1"/>
        <v>OK</v>
      </c>
    </row>
    <row r="109" spans="1:11">
      <c r="A109" t="str">
        <f>Raw_Data!A109</f>
        <v>ORD-0108</v>
      </c>
      <c r="B109" t="s">
        <v>206</v>
      </c>
      <c r="C109" t="str">
        <f>PROPER(TRIM(Raw_Data!C109))</f>
        <v>South</v>
      </c>
      <c r="D109" t="str">
        <f>PROPER(TRIM(Raw_Data!D109))</f>
        <v>Home</v>
      </c>
      <c r="E109" t="str">
        <f>PROPER(TRIM(Raw_Data!E109))</f>
        <v>Blender</v>
      </c>
      <c r="F109" t="str">
        <f>IF(TRIM(Raw_Data!F109)="","Review",PROPER(TRIM(Raw_Data!F109)))</f>
        <v>New</v>
      </c>
      <c r="G109">
        <f>Raw_Data!G109</f>
        <v>5</v>
      </c>
      <c r="H109">
        <f>IF(Raw_Data!H109="","",Raw_Data!H109)</f>
        <v>14618.95</v>
      </c>
      <c r="I109">
        <f>IF(Raw_Data!I109="","",Raw_Data!I109)</f>
        <v>2152.17</v>
      </c>
      <c r="J109" t="str">
        <f>IF(TRIM(Raw_Data!J109)="","Review",PROPER(TRIM(Raw_Data!J109)))</f>
        <v>Net Banking</v>
      </c>
      <c r="K109" t="str">
        <f t="shared" si="1"/>
        <v>OK</v>
      </c>
    </row>
    <row r="110" spans="1:11">
      <c r="A110" t="str">
        <f>Raw_Data!A110</f>
        <v>ORD-0109</v>
      </c>
      <c r="B110" t="s">
        <v>244</v>
      </c>
      <c r="C110" t="str">
        <f>PROPER(TRIM(Raw_Data!C110))</f>
        <v>North</v>
      </c>
      <c r="D110" t="str">
        <f>PROPER(TRIM(Raw_Data!D110))</f>
        <v>Electronics</v>
      </c>
      <c r="E110" t="str">
        <f>PROPER(TRIM(Raw_Data!E110))</f>
        <v>Laptop</v>
      </c>
      <c r="F110" t="str">
        <f>IF(TRIM(Raw_Data!F110)="","Review",PROPER(TRIM(Raw_Data!F110)))</f>
        <v>Existing</v>
      </c>
      <c r="G110">
        <f>Raw_Data!G110</f>
        <v>4</v>
      </c>
      <c r="H110">
        <f>IF(Raw_Data!H110="","",Raw_Data!H110)</f>
        <v>194120.78</v>
      </c>
      <c r="I110">
        <f>IF(Raw_Data!I110="","",Raw_Data!I110)</f>
        <v>5398.07</v>
      </c>
      <c r="J110" t="str">
        <f>IF(TRIM(Raw_Data!J110)="","Review",PROPER(TRIM(Raw_Data!J110)))</f>
        <v>Upi</v>
      </c>
      <c r="K110" t="str">
        <f t="shared" si="1"/>
        <v>OK</v>
      </c>
    </row>
    <row r="111" spans="1:11">
      <c r="A111" t="str">
        <f>Raw_Data!A111</f>
        <v>ORD-0110</v>
      </c>
      <c r="B111" t="s">
        <v>116</v>
      </c>
      <c r="C111" t="str">
        <f>PROPER(TRIM(Raw_Data!C111))</f>
        <v>South</v>
      </c>
      <c r="D111" t="str">
        <f>PROPER(TRIM(Raw_Data!D111))</f>
        <v>Clothing</v>
      </c>
      <c r="E111" t="str">
        <f>PROPER(TRIM(Raw_Data!E111))</f>
        <v>Jeans</v>
      </c>
      <c r="F111" t="str">
        <f>IF(TRIM(Raw_Data!F111)="","Review",PROPER(TRIM(Raw_Data!F111)))</f>
        <v>New</v>
      </c>
      <c r="G111">
        <f>Raw_Data!G111</f>
        <v>3</v>
      </c>
      <c r="H111">
        <f>IF(Raw_Data!H111="","",Raw_Data!H111)</f>
        <v>4733.46</v>
      </c>
      <c r="I111">
        <f>IF(Raw_Data!I111="","",Raw_Data!I111)</f>
        <v>37.450000000000003</v>
      </c>
      <c r="J111" t="str">
        <f>IF(TRIM(Raw_Data!J111)="","Review",PROPER(TRIM(Raw_Data!J111)))</f>
        <v>Card</v>
      </c>
      <c r="K111" t="str">
        <f t="shared" si="1"/>
        <v>OK</v>
      </c>
    </row>
    <row r="112" spans="1:11">
      <c r="A112" t="str">
        <f>Raw_Data!A112</f>
        <v>ORD-0111</v>
      </c>
      <c r="B112" t="s">
        <v>91</v>
      </c>
      <c r="C112" t="str">
        <f>PROPER(TRIM(Raw_Data!C112))</f>
        <v>South</v>
      </c>
      <c r="D112" t="str">
        <f>PROPER(TRIM(Raw_Data!D112))</f>
        <v>Electronics</v>
      </c>
      <c r="E112" t="str">
        <f>PROPER(TRIM(Raw_Data!E112))</f>
        <v>Monitor</v>
      </c>
      <c r="F112" t="str">
        <f>IF(TRIM(Raw_Data!F112)="","Review",PROPER(TRIM(Raw_Data!F112)))</f>
        <v>New</v>
      </c>
      <c r="G112">
        <f>Raw_Data!G112</f>
        <v>4</v>
      </c>
      <c r="H112">
        <f>IF(Raw_Data!H112="","",Raw_Data!H112)</f>
        <v>49149.22</v>
      </c>
      <c r="I112">
        <f>IF(Raw_Data!I112="","",Raw_Data!I112)</f>
        <v>329.24</v>
      </c>
      <c r="J112" t="str">
        <f>IF(TRIM(Raw_Data!J112)="","Review",PROPER(TRIM(Raw_Data!J112)))</f>
        <v>Net Banking</v>
      </c>
      <c r="K112" t="str">
        <f t="shared" si="1"/>
        <v>OK</v>
      </c>
    </row>
    <row r="113" spans="1:11">
      <c r="A113" t="str">
        <f>Raw_Data!A113</f>
        <v>ORD-0112</v>
      </c>
      <c r="B113" t="s">
        <v>248</v>
      </c>
      <c r="C113" t="str">
        <f>PROPER(TRIM(Raw_Data!C113))</f>
        <v>East</v>
      </c>
      <c r="D113" t="str">
        <f>PROPER(TRIM(Raw_Data!D113))</f>
        <v>Home</v>
      </c>
      <c r="E113" t="str">
        <f>PROPER(TRIM(Raw_Data!E113))</f>
        <v>Bedsheet</v>
      </c>
      <c r="F113" t="str">
        <f>IF(TRIM(Raw_Data!F113)="","Review",PROPER(TRIM(Raw_Data!F113)))</f>
        <v>New</v>
      </c>
      <c r="G113">
        <f>Raw_Data!G113</f>
        <v>4</v>
      </c>
      <c r="H113">
        <f>IF(Raw_Data!H113="","",Raw_Data!H113)</f>
        <v>5325.97</v>
      </c>
      <c r="I113">
        <f>IF(Raw_Data!I113="","",Raw_Data!I113)</f>
        <v>-408.06</v>
      </c>
      <c r="J113" t="str">
        <f>IF(TRIM(Raw_Data!J113)="","Review",PROPER(TRIM(Raw_Data!J113)))</f>
        <v>Upi</v>
      </c>
      <c r="K113" t="str">
        <f t="shared" si="1"/>
        <v>OK</v>
      </c>
    </row>
    <row r="114" spans="1:11">
      <c r="A114" t="str">
        <f>Raw_Data!A114</f>
        <v>ORD-0113</v>
      </c>
      <c r="B114" t="s">
        <v>184</v>
      </c>
      <c r="C114" t="str">
        <f>PROPER(TRIM(Raw_Data!C114))</f>
        <v>East</v>
      </c>
      <c r="D114" t="str">
        <f>PROPER(TRIM(Raw_Data!D114))</f>
        <v>Clothing</v>
      </c>
      <c r="E114" t="str">
        <f>PROPER(TRIM(Raw_Data!E114))</f>
        <v>Jeans</v>
      </c>
      <c r="F114" t="str">
        <f>IF(TRIM(Raw_Data!F114)="","Review",PROPER(TRIM(Raw_Data!F114)))</f>
        <v>Existing</v>
      </c>
      <c r="G114">
        <f>Raw_Data!G114</f>
        <v>5</v>
      </c>
      <c r="H114">
        <f>IF(Raw_Data!H114="","",Raw_Data!H114)</f>
        <v>7678.65</v>
      </c>
      <c r="I114">
        <f>IF(Raw_Data!I114="","",Raw_Data!I114)</f>
        <v>2045.06</v>
      </c>
      <c r="J114" t="str">
        <f>IF(TRIM(Raw_Data!J114)="","Review",PROPER(TRIM(Raw_Data!J114)))</f>
        <v>Cash</v>
      </c>
      <c r="K114" t="str">
        <f t="shared" si="1"/>
        <v>OK</v>
      </c>
    </row>
    <row r="115" spans="1:11">
      <c r="A115" t="str">
        <f>Raw_Data!A115</f>
        <v>ORD-0114</v>
      </c>
      <c r="B115" t="s">
        <v>31</v>
      </c>
      <c r="C115" t="str">
        <f>PROPER(TRIM(Raw_Data!C115))</f>
        <v>East</v>
      </c>
      <c r="D115" t="str">
        <f>PROPER(TRIM(Raw_Data!D115))</f>
        <v>Electronics</v>
      </c>
      <c r="E115" t="str">
        <f>PROPER(TRIM(Raw_Data!E115))</f>
        <v>Keyboard</v>
      </c>
      <c r="F115" t="str">
        <f>IF(TRIM(Raw_Data!F115)="","Review",PROPER(TRIM(Raw_Data!F115)))</f>
        <v>Existing</v>
      </c>
      <c r="G115">
        <f>Raw_Data!G115</f>
        <v>4</v>
      </c>
      <c r="H115">
        <f>IF(Raw_Data!H115="","",Raw_Data!H115)</f>
        <v>6633.58</v>
      </c>
      <c r="I115">
        <f>IF(Raw_Data!I115="","",Raw_Data!I115)</f>
        <v>380.05</v>
      </c>
      <c r="J115" t="str">
        <f>IF(TRIM(Raw_Data!J115)="","Review",PROPER(TRIM(Raw_Data!J115)))</f>
        <v>Upi</v>
      </c>
      <c r="K115" t="str">
        <f t="shared" si="1"/>
        <v>OK</v>
      </c>
    </row>
    <row r="116" spans="1:11">
      <c r="A116" t="str">
        <f>Raw_Data!A116</f>
        <v>ORD-0115</v>
      </c>
      <c r="B116" t="s">
        <v>252</v>
      </c>
      <c r="C116" t="str">
        <f>PROPER(TRIM(Raw_Data!C116))</f>
        <v>West</v>
      </c>
      <c r="D116" t="str">
        <f>PROPER(TRIM(Raw_Data!D116))</f>
        <v>Home</v>
      </c>
      <c r="E116" t="str">
        <f>PROPER(TRIM(Raw_Data!E116))</f>
        <v>Cookware Set</v>
      </c>
      <c r="F116" t="str">
        <f>IF(TRIM(Raw_Data!F116)="","Review",PROPER(TRIM(Raw_Data!F116)))</f>
        <v>Existing</v>
      </c>
      <c r="G116">
        <f>Raw_Data!G116</f>
        <v>3</v>
      </c>
      <c r="H116">
        <f>IF(Raw_Data!H116="","",Raw_Data!H116)</f>
        <v>7573.6</v>
      </c>
      <c r="I116">
        <f>IF(Raw_Data!I116="","",Raw_Data!I116)</f>
        <v>1752.71</v>
      </c>
      <c r="J116" t="str">
        <f>IF(TRIM(Raw_Data!J116)="","Review",PROPER(TRIM(Raw_Data!J116)))</f>
        <v>Card</v>
      </c>
      <c r="K116" t="str">
        <f t="shared" si="1"/>
        <v>OK</v>
      </c>
    </row>
    <row r="117" spans="1:11">
      <c r="A117" t="str">
        <f>Raw_Data!A117</f>
        <v>ORD-0116</v>
      </c>
      <c r="B117" t="s">
        <v>156</v>
      </c>
      <c r="C117" t="str">
        <f>PROPER(TRIM(Raw_Data!C117))</f>
        <v>South</v>
      </c>
      <c r="D117" t="str">
        <f>PROPER(TRIM(Raw_Data!D117))</f>
        <v>Home</v>
      </c>
      <c r="E117" t="str">
        <f>PROPER(TRIM(Raw_Data!E117))</f>
        <v>Bedsheet</v>
      </c>
      <c r="F117" t="str">
        <f>IF(TRIM(Raw_Data!F117)="","Review",PROPER(TRIM(Raw_Data!F117)))</f>
        <v>New</v>
      </c>
      <c r="G117">
        <f>Raw_Data!G117</f>
        <v>2</v>
      </c>
      <c r="H117">
        <f>IF(Raw_Data!H117="","",Raw_Data!H117)</f>
        <v>2876.51</v>
      </c>
      <c r="I117">
        <f>IF(Raw_Data!I117="","",Raw_Data!I117)</f>
        <v>412.84</v>
      </c>
      <c r="J117" t="str">
        <f>IF(TRIM(Raw_Data!J117)="","Review",PROPER(TRIM(Raw_Data!J117)))</f>
        <v>Upi</v>
      </c>
      <c r="K117" t="str">
        <f t="shared" si="1"/>
        <v>OK</v>
      </c>
    </row>
    <row r="118" spans="1:11">
      <c r="A118" t="str">
        <f>Raw_Data!A118</f>
        <v>ORD-0117</v>
      </c>
      <c r="B118" t="s">
        <v>255</v>
      </c>
      <c r="C118" t="str">
        <f>PROPER(TRIM(Raw_Data!C118))</f>
        <v>East</v>
      </c>
      <c r="D118" t="str">
        <f>PROPER(TRIM(Raw_Data!D118))</f>
        <v>Clothing</v>
      </c>
      <c r="E118" t="str">
        <f>PROPER(TRIM(Raw_Data!E118))</f>
        <v>Sneakers</v>
      </c>
      <c r="F118" t="str">
        <f>IF(TRIM(Raw_Data!F118)="","Review",PROPER(TRIM(Raw_Data!F118)))</f>
        <v>Existing</v>
      </c>
      <c r="G118">
        <f>Raw_Data!G118</f>
        <v>1</v>
      </c>
      <c r="H118">
        <f>IF(Raw_Data!H118="","",Raw_Data!H118)</f>
        <v>3555.7</v>
      </c>
      <c r="I118">
        <f>IF(Raw_Data!I118="","",Raw_Data!I118)</f>
        <v>653</v>
      </c>
      <c r="J118" t="str">
        <f>IF(TRIM(Raw_Data!J118)="","Review",PROPER(TRIM(Raw_Data!J118)))</f>
        <v>Net Banking</v>
      </c>
      <c r="K118" t="str">
        <f t="shared" si="1"/>
        <v>OK</v>
      </c>
    </row>
    <row r="119" spans="1:11">
      <c r="A119" t="str">
        <f>Raw_Data!A119</f>
        <v>ORD-0118</v>
      </c>
      <c r="B119" t="s">
        <v>257</v>
      </c>
      <c r="C119" t="str">
        <f>PROPER(TRIM(Raw_Data!C119))</f>
        <v>East</v>
      </c>
      <c r="D119" t="str">
        <f>PROPER(TRIM(Raw_Data!D119))</f>
        <v>Electronics</v>
      </c>
      <c r="E119" t="str">
        <f>PROPER(TRIM(Raw_Data!E119))</f>
        <v>Headphones</v>
      </c>
      <c r="F119" t="str">
        <f>IF(TRIM(Raw_Data!F119)="","Review",PROPER(TRIM(Raw_Data!F119)))</f>
        <v>New</v>
      </c>
      <c r="G119">
        <f>Raw_Data!G119</f>
        <v>2</v>
      </c>
      <c r="H119">
        <f>IF(Raw_Data!H119="","",Raw_Data!H119)</f>
        <v>5286.51</v>
      </c>
      <c r="I119">
        <f>IF(Raw_Data!I119="","",Raw_Data!I119)</f>
        <v>1245.1099999999999</v>
      </c>
      <c r="J119" t="str">
        <f>IF(TRIM(Raw_Data!J119)="","Review",PROPER(TRIM(Raw_Data!J119)))</f>
        <v>Cash</v>
      </c>
      <c r="K119" t="str">
        <f t="shared" si="1"/>
        <v>OK</v>
      </c>
    </row>
    <row r="120" spans="1:11">
      <c r="A120" t="str">
        <f>Raw_Data!A120</f>
        <v>ORD-0119</v>
      </c>
      <c r="B120" t="s">
        <v>240</v>
      </c>
      <c r="C120" t="str">
        <f>PROPER(TRIM(Raw_Data!C120))</f>
        <v>South</v>
      </c>
      <c r="D120" t="str">
        <f>PROPER(TRIM(Raw_Data!D120))</f>
        <v>Clothing</v>
      </c>
      <c r="E120" t="str">
        <f>PROPER(TRIM(Raw_Data!E120))</f>
        <v>Jeans</v>
      </c>
      <c r="F120" t="str">
        <f>IF(TRIM(Raw_Data!F120)="","Review",PROPER(TRIM(Raw_Data!F120)))</f>
        <v>New</v>
      </c>
      <c r="G120">
        <f>Raw_Data!G120</f>
        <v>3</v>
      </c>
      <c r="H120">
        <f>IF(Raw_Data!H120="","",Raw_Data!H120)</f>
        <v>5092.0600000000004</v>
      </c>
      <c r="I120">
        <f>IF(Raw_Data!I120="","",Raw_Data!I120)</f>
        <v>451.15</v>
      </c>
      <c r="J120" t="str">
        <f>IF(TRIM(Raw_Data!J120)="","Review",PROPER(TRIM(Raw_Data!J120)))</f>
        <v>Net Banking</v>
      </c>
      <c r="K120" t="str">
        <f t="shared" si="1"/>
        <v>OK</v>
      </c>
    </row>
    <row r="121" spans="1:11">
      <c r="A121" t="str">
        <f>Raw_Data!A121</f>
        <v>ORD-0120</v>
      </c>
      <c r="B121" t="s">
        <v>261</v>
      </c>
      <c r="C121" t="str">
        <f>PROPER(TRIM(Raw_Data!C121))</f>
        <v>North</v>
      </c>
      <c r="D121" t="str">
        <f>PROPER(TRIM(Raw_Data!D121))</f>
        <v>Home</v>
      </c>
      <c r="E121" t="str">
        <f>PROPER(TRIM(Raw_Data!E121))</f>
        <v>Bedsheet</v>
      </c>
      <c r="F121" t="str">
        <f>IF(TRIM(Raw_Data!F121)="","Review",PROPER(TRIM(Raw_Data!F121)))</f>
        <v>Existing</v>
      </c>
      <c r="G121">
        <f>Raw_Data!G121</f>
        <v>1</v>
      </c>
      <c r="H121">
        <f>IF(Raw_Data!H121="","",Raw_Data!H121)</f>
        <v>1481.39</v>
      </c>
      <c r="I121">
        <f>IF(Raw_Data!I121="","",Raw_Data!I121)</f>
        <v>-111.09</v>
      </c>
      <c r="J121" t="str">
        <f>IF(TRIM(Raw_Data!J121)="","Review",PROPER(TRIM(Raw_Data!J121)))</f>
        <v>Cash</v>
      </c>
      <c r="K121" t="str">
        <f t="shared" si="1"/>
        <v>OK</v>
      </c>
    </row>
    <row r="122" spans="1:11">
      <c r="A122" t="str">
        <f>Raw_Data!A122</f>
        <v>ORD-0121</v>
      </c>
      <c r="B122" t="s">
        <v>263</v>
      </c>
      <c r="C122" t="str">
        <f>PROPER(TRIM(Raw_Data!C122))</f>
        <v>North</v>
      </c>
      <c r="D122" t="str">
        <f>PROPER(TRIM(Raw_Data!D122))</f>
        <v>Home</v>
      </c>
      <c r="E122" t="str">
        <f>PROPER(TRIM(Raw_Data!E122))</f>
        <v>Bedsheet</v>
      </c>
      <c r="F122" t="str">
        <f>IF(TRIM(Raw_Data!F122)="","Review",PROPER(TRIM(Raw_Data!F122)))</f>
        <v>New</v>
      </c>
      <c r="G122">
        <f>Raw_Data!G122</f>
        <v>5</v>
      </c>
      <c r="H122">
        <f>IF(Raw_Data!H122="","",Raw_Data!H122)</f>
        <v>6833.44</v>
      </c>
      <c r="I122">
        <f>IF(Raw_Data!I122="","",Raw_Data!I122)</f>
        <v>1024.18</v>
      </c>
      <c r="J122" t="str">
        <f>IF(TRIM(Raw_Data!J122)="","Review",PROPER(TRIM(Raw_Data!J122)))</f>
        <v>Net Banking</v>
      </c>
      <c r="K122" t="str">
        <f t="shared" si="1"/>
        <v>OK</v>
      </c>
    </row>
    <row r="123" spans="1:11">
      <c r="A123" t="str">
        <f>Raw_Data!A123</f>
        <v>ORD-0122</v>
      </c>
      <c r="B123" t="s">
        <v>265</v>
      </c>
      <c r="C123" t="str">
        <f>PROPER(TRIM(Raw_Data!C123))</f>
        <v>North</v>
      </c>
      <c r="D123" t="str">
        <f>PROPER(TRIM(Raw_Data!D123))</f>
        <v>Electronics</v>
      </c>
      <c r="E123" t="str">
        <f>PROPER(TRIM(Raw_Data!E123))</f>
        <v>Monitor</v>
      </c>
      <c r="F123" t="str">
        <f>IF(TRIM(Raw_Data!F123)="","Review",PROPER(TRIM(Raw_Data!F123)))</f>
        <v>Existing</v>
      </c>
      <c r="G123">
        <f>Raw_Data!G123</f>
        <v>5</v>
      </c>
      <c r="H123">
        <f>IF(Raw_Data!H123="","",Raw_Data!H123)</f>
        <v>57936.08</v>
      </c>
      <c r="I123">
        <f>IF(Raw_Data!I123="","",Raw_Data!I123)</f>
        <v>8089.59</v>
      </c>
      <c r="J123" t="str">
        <f>IF(TRIM(Raw_Data!J123)="","Review",PROPER(TRIM(Raw_Data!J123)))</f>
        <v>Cash</v>
      </c>
      <c r="K123" t="str">
        <f t="shared" si="1"/>
        <v>OK</v>
      </c>
    </row>
    <row r="124" spans="1:11">
      <c r="A124" t="str">
        <f>Raw_Data!A124</f>
        <v>ORD-0123</v>
      </c>
      <c r="B124" t="s">
        <v>212</v>
      </c>
      <c r="C124" t="str">
        <f>PROPER(TRIM(Raw_Data!C124))</f>
        <v>West</v>
      </c>
      <c r="D124" t="str">
        <f>PROPER(TRIM(Raw_Data!D124))</f>
        <v>Home</v>
      </c>
      <c r="E124" t="str">
        <f>PROPER(TRIM(Raw_Data!E124))</f>
        <v>Cookware Set</v>
      </c>
      <c r="F124" t="str">
        <f>IF(TRIM(Raw_Data!F124)="","Review",PROPER(TRIM(Raw_Data!F124)))</f>
        <v>New</v>
      </c>
      <c r="G124">
        <f>Raw_Data!G124</f>
        <v>1</v>
      </c>
      <c r="H124">
        <f>IF(Raw_Data!H124="","",Raw_Data!H124)</f>
        <v>2598.2800000000002</v>
      </c>
      <c r="I124">
        <f>IF(Raw_Data!I124="","",Raw_Data!I124)</f>
        <v>677.25</v>
      </c>
      <c r="J124" t="str">
        <f>IF(TRIM(Raw_Data!J124)="","Review",PROPER(TRIM(Raw_Data!J124)))</f>
        <v>Upi</v>
      </c>
      <c r="K124" t="str">
        <f t="shared" si="1"/>
        <v>OK</v>
      </c>
    </row>
    <row r="125" spans="1:11">
      <c r="A125" t="str">
        <f>Raw_Data!A125</f>
        <v>ORD-0124</v>
      </c>
      <c r="B125" t="s">
        <v>268</v>
      </c>
      <c r="C125" t="str">
        <f>PROPER(TRIM(Raw_Data!C125))</f>
        <v>West</v>
      </c>
      <c r="D125" t="str">
        <f>PROPER(TRIM(Raw_Data!D125))</f>
        <v>Electronics</v>
      </c>
      <c r="E125" t="str">
        <f>PROPER(TRIM(Raw_Data!E125))</f>
        <v>Monitor</v>
      </c>
      <c r="F125" t="str">
        <f>IF(TRIM(Raw_Data!F125)="","Review",PROPER(TRIM(Raw_Data!F125)))</f>
        <v>New</v>
      </c>
      <c r="G125">
        <f>Raw_Data!G125</f>
        <v>2</v>
      </c>
      <c r="H125">
        <f>IF(Raw_Data!H125="","",Raw_Data!H125)</f>
        <v>23465.5</v>
      </c>
      <c r="I125">
        <f>IF(Raw_Data!I125="","",Raw_Data!I125)</f>
        <v>1256.9100000000001</v>
      </c>
      <c r="J125" t="str">
        <f>IF(TRIM(Raw_Data!J125)="","Review",PROPER(TRIM(Raw_Data!J125)))</f>
        <v>Net Banking</v>
      </c>
      <c r="K125" t="str">
        <f t="shared" si="1"/>
        <v>OK</v>
      </c>
    </row>
    <row r="126" spans="1:11">
      <c r="A126" t="str">
        <f>Raw_Data!A126</f>
        <v>ORD-0125</v>
      </c>
      <c r="B126" t="s">
        <v>270</v>
      </c>
      <c r="C126" t="str">
        <f>PROPER(TRIM(Raw_Data!C126))</f>
        <v>North</v>
      </c>
      <c r="D126" t="str">
        <f>PROPER(TRIM(Raw_Data!D126))</f>
        <v>Home</v>
      </c>
      <c r="E126" t="str">
        <f>PROPER(TRIM(Raw_Data!E126))</f>
        <v>Blender</v>
      </c>
      <c r="F126" t="str">
        <f>IF(TRIM(Raw_Data!F126)="","Review",PROPER(TRIM(Raw_Data!F126)))</f>
        <v>Existing</v>
      </c>
      <c r="G126">
        <f>Raw_Data!G126</f>
        <v>4</v>
      </c>
      <c r="H126">
        <f>IF(Raw_Data!H126="","",Raw_Data!H126)</f>
        <v>13096.07</v>
      </c>
      <c r="I126">
        <f>IF(Raw_Data!I126="","",Raw_Data!I126)</f>
        <v>3379.56</v>
      </c>
      <c r="J126" t="str">
        <f>IF(TRIM(Raw_Data!J126)="","Review",PROPER(TRIM(Raw_Data!J126)))</f>
        <v>Card</v>
      </c>
      <c r="K126" t="str">
        <f t="shared" si="1"/>
        <v>OK</v>
      </c>
    </row>
    <row r="127" spans="1:11">
      <c r="A127" t="str">
        <f>Raw_Data!A127</f>
        <v>ORD-0126</v>
      </c>
      <c r="B127" t="s">
        <v>272</v>
      </c>
      <c r="C127" t="str">
        <f>PROPER(TRIM(Raw_Data!C127))</f>
        <v>East</v>
      </c>
      <c r="D127" t="str">
        <f>PROPER(TRIM(Raw_Data!D127))</f>
        <v>Clothing</v>
      </c>
      <c r="E127" t="str">
        <f>PROPER(TRIM(Raw_Data!E127))</f>
        <v>Sneakers</v>
      </c>
      <c r="F127" t="str">
        <f>IF(TRIM(Raw_Data!F127)="","Review",PROPER(TRIM(Raw_Data!F127)))</f>
        <v>Existing</v>
      </c>
      <c r="G127">
        <f>Raw_Data!G127</f>
        <v>2</v>
      </c>
      <c r="H127">
        <f>IF(Raw_Data!H127="","",Raw_Data!H127)</f>
        <v>7497.63</v>
      </c>
      <c r="I127">
        <f>IF(Raw_Data!I127="","",Raw_Data!I127)</f>
        <v>-331.64</v>
      </c>
      <c r="J127" t="str">
        <f>IF(TRIM(Raw_Data!J127)="","Review",PROPER(TRIM(Raw_Data!J127)))</f>
        <v>Upi</v>
      </c>
      <c r="K127" t="str">
        <f t="shared" si="1"/>
        <v>OK</v>
      </c>
    </row>
    <row r="128" spans="1:11">
      <c r="A128" t="str">
        <f>Raw_Data!A128</f>
        <v>ORD-0127</v>
      </c>
      <c r="B128" t="s">
        <v>274</v>
      </c>
      <c r="C128" t="str">
        <f>PROPER(TRIM(Raw_Data!C128))</f>
        <v>North</v>
      </c>
      <c r="D128" t="str">
        <f>PROPER(TRIM(Raw_Data!D128))</f>
        <v>Clothing</v>
      </c>
      <c r="E128" t="str">
        <f>PROPER(TRIM(Raw_Data!E128))</f>
        <v>Jeans</v>
      </c>
      <c r="F128" t="str">
        <f>IF(TRIM(Raw_Data!F128)="","Review",PROPER(TRIM(Raw_Data!F128)))</f>
        <v>New</v>
      </c>
      <c r="G128">
        <f>Raw_Data!G128</f>
        <v>2</v>
      </c>
      <c r="H128">
        <f>IF(Raw_Data!H128="","",Raw_Data!H128)</f>
        <v>3499.65</v>
      </c>
      <c r="I128">
        <f>IF(Raw_Data!I128="","",Raw_Data!I128)</f>
        <v>915.66</v>
      </c>
      <c r="J128" t="str">
        <f>IF(TRIM(Raw_Data!J128)="","Review",PROPER(TRIM(Raw_Data!J128)))</f>
        <v>Upi</v>
      </c>
      <c r="K128" t="str">
        <f t="shared" si="1"/>
        <v>OK</v>
      </c>
    </row>
    <row r="129" spans="1:11">
      <c r="A129" t="str">
        <f>Raw_Data!A129</f>
        <v>ORD-0128</v>
      </c>
      <c r="B129" t="s">
        <v>276</v>
      </c>
      <c r="C129" t="str">
        <f>PROPER(TRIM(Raw_Data!C129))</f>
        <v>North</v>
      </c>
      <c r="D129" t="str">
        <f>PROPER(TRIM(Raw_Data!D129))</f>
        <v>Electronics</v>
      </c>
      <c r="E129" t="str">
        <f>PROPER(TRIM(Raw_Data!E129))</f>
        <v>Smartphone</v>
      </c>
      <c r="F129" t="str">
        <f>IF(TRIM(Raw_Data!F129)="","Review",PROPER(TRIM(Raw_Data!F129)))</f>
        <v>New</v>
      </c>
      <c r="G129">
        <f>Raw_Data!G129</f>
        <v>2</v>
      </c>
      <c r="H129">
        <f>IF(Raw_Data!H129="","",Raw_Data!H129)</f>
        <v>61474.79</v>
      </c>
      <c r="I129">
        <f>IF(Raw_Data!I129="","",Raw_Data!I129)</f>
        <v>12498.57</v>
      </c>
      <c r="J129" t="str">
        <f>IF(TRIM(Raw_Data!J129)="","Review",PROPER(TRIM(Raw_Data!J129)))</f>
        <v>Card</v>
      </c>
      <c r="K129" t="str">
        <f t="shared" si="1"/>
        <v>OK</v>
      </c>
    </row>
    <row r="130" spans="1:11">
      <c r="A130" t="str">
        <f>Raw_Data!A130</f>
        <v>ORD-0129</v>
      </c>
      <c r="B130" t="s">
        <v>278</v>
      </c>
      <c r="C130" t="str">
        <f>PROPER(TRIM(Raw_Data!C130))</f>
        <v>South</v>
      </c>
      <c r="D130" t="str">
        <f>PROPER(TRIM(Raw_Data!D130))</f>
        <v>Electronics</v>
      </c>
      <c r="E130" t="str">
        <f>PROPER(TRIM(Raw_Data!E130))</f>
        <v>Smartphone</v>
      </c>
      <c r="F130" t="str">
        <f>IF(TRIM(Raw_Data!F130)="","Review",PROPER(TRIM(Raw_Data!F130)))</f>
        <v>New</v>
      </c>
      <c r="G130">
        <f>Raw_Data!G130</f>
        <v>2</v>
      </c>
      <c r="H130">
        <f>IF(Raw_Data!H130="","",Raw_Data!H130)</f>
        <v>59232.81</v>
      </c>
      <c r="I130">
        <f>IF(Raw_Data!I130="","",Raw_Data!I130)</f>
        <v>7969.98</v>
      </c>
      <c r="J130" t="str">
        <f>IF(TRIM(Raw_Data!J130)="","Review",PROPER(TRIM(Raw_Data!J130)))</f>
        <v>Cash</v>
      </c>
      <c r="K130" t="str">
        <f t="shared" si="1"/>
        <v>OK</v>
      </c>
    </row>
    <row r="131" spans="1:11">
      <c r="A131" t="str">
        <f>Raw_Data!A131</f>
        <v>ORD-0130</v>
      </c>
      <c r="B131" t="s">
        <v>81</v>
      </c>
      <c r="C131" t="str">
        <f>PROPER(TRIM(Raw_Data!C131))</f>
        <v>East</v>
      </c>
      <c r="D131" t="str">
        <f>PROPER(TRIM(Raw_Data!D131))</f>
        <v>Electronics</v>
      </c>
      <c r="E131" t="str">
        <f>PROPER(TRIM(Raw_Data!E131))</f>
        <v>Laptop</v>
      </c>
      <c r="F131" t="str">
        <f>IF(TRIM(Raw_Data!F131)="","Review",PROPER(TRIM(Raw_Data!F131)))</f>
        <v>New</v>
      </c>
      <c r="G131">
        <f>Raw_Data!G131</f>
        <v>1</v>
      </c>
      <c r="H131">
        <f>IF(Raw_Data!H131="","",Raw_Data!H131)</f>
        <v>48170.75</v>
      </c>
      <c r="I131">
        <f>IF(Raw_Data!I131="","",Raw_Data!I131)</f>
        <v>2358.79</v>
      </c>
      <c r="J131" t="str">
        <f>IF(TRIM(Raw_Data!J131)="","Review",PROPER(TRIM(Raw_Data!J131)))</f>
        <v>Card</v>
      </c>
      <c r="K131" t="str">
        <f t="shared" ref="K131:K194" si="2">IF(OR(H131="",I131="",J131="Review",F131="Review"),"Review","OK")</f>
        <v>OK</v>
      </c>
    </row>
    <row r="132" spans="1:11">
      <c r="A132" t="str">
        <f>Raw_Data!A132</f>
        <v>ORD-0131</v>
      </c>
      <c r="B132" t="s">
        <v>150</v>
      </c>
      <c r="C132" t="str">
        <f>PROPER(TRIM(Raw_Data!C132))</f>
        <v>West</v>
      </c>
      <c r="D132" t="str">
        <f>PROPER(TRIM(Raw_Data!D132))</f>
        <v>Clothing</v>
      </c>
      <c r="E132" t="str">
        <f>PROPER(TRIM(Raw_Data!E132))</f>
        <v>Jacket</v>
      </c>
      <c r="F132" t="str">
        <f>IF(TRIM(Raw_Data!F132)="","Review",PROPER(TRIM(Raw_Data!F132)))</f>
        <v>Existing</v>
      </c>
      <c r="G132">
        <f>Raw_Data!G132</f>
        <v>2</v>
      </c>
      <c r="H132">
        <f>IF(Raw_Data!H132="","",Raw_Data!H132)</f>
        <v>4612.71</v>
      </c>
      <c r="I132">
        <f>IF(Raw_Data!I132="","",Raw_Data!I132)</f>
        <v>504.59</v>
      </c>
      <c r="J132" t="str">
        <f>IF(TRIM(Raw_Data!J132)="","Review",PROPER(TRIM(Raw_Data!J132)))</f>
        <v>Cash</v>
      </c>
      <c r="K132" t="str">
        <f t="shared" si="2"/>
        <v>OK</v>
      </c>
    </row>
    <row r="133" spans="1:11">
      <c r="A133" t="str">
        <f>Raw_Data!A133</f>
        <v>ORD-0132</v>
      </c>
      <c r="B133" t="s">
        <v>282</v>
      </c>
      <c r="C133" t="str">
        <f>PROPER(TRIM(Raw_Data!C133))</f>
        <v>North</v>
      </c>
      <c r="D133" t="str">
        <f>PROPER(TRIM(Raw_Data!D133))</f>
        <v>Home</v>
      </c>
      <c r="E133" t="str">
        <f>PROPER(TRIM(Raw_Data!E133))</f>
        <v>Chair</v>
      </c>
      <c r="F133" t="str">
        <f>IF(TRIM(Raw_Data!F133)="","Review",PROPER(TRIM(Raw_Data!F133)))</f>
        <v>Existing</v>
      </c>
      <c r="G133">
        <f>Raw_Data!G133</f>
        <v>1</v>
      </c>
      <c r="H133">
        <f>IF(Raw_Data!H133="","",Raw_Data!H133)</f>
        <v>4456.8</v>
      </c>
      <c r="I133">
        <f>IF(Raw_Data!I133="","",Raw_Data!I133)</f>
        <v>-1.08</v>
      </c>
      <c r="J133" t="str">
        <f>IF(TRIM(Raw_Data!J133)="","Review",PROPER(TRIM(Raw_Data!J133)))</f>
        <v>Net Banking</v>
      </c>
      <c r="K133" t="str">
        <f t="shared" si="2"/>
        <v>OK</v>
      </c>
    </row>
    <row r="134" spans="1:11">
      <c r="A134" t="str">
        <f>Raw_Data!A134</f>
        <v>ORD-0133</v>
      </c>
      <c r="B134" t="s">
        <v>108</v>
      </c>
      <c r="C134" t="str">
        <f>PROPER(TRIM(Raw_Data!C134))</f>
        <v>North</v>
      </c>
      <c r="D134" t="str">
        <f>PROPER(TRIM(Raw_Data!D134))</f>
        <v>Home</v>
      </c>
      <c r="E134" t="str">
        <f>PROPER(TRIM(Raw_Data!E134))</f>
        <v>Blender</v>
      </c>
      <c r="F134" t="str">
        <f>IF(TRIM(Raw_Data!F134)="","Review",PROPER(TRIM(Raw_Data!F134)))</f>
        <v>Existing</v>
      </c>
      <c r="G134">
        <f>Raw_Data!G134</f>
        <v>1</v>
      </c>
      <c r="H134">
        <f>IF(Raw_Data!H134="","",Raw_Data!H134)</f>
        <v>3519.1</v>
      </c>
      <c r="I134">
        <f>IF(Raw_Data!I134="","",Raw_Data!I134)</f>
        <v>791.89</v>
      </c>
      <c r="J134" t="str">
        <f>IF(TRIM(Raw_Data!J134)="","Review",PROPER(TRIM(Raw_Data!J134)))</f>
        <v>Net Banking</v>
      </c>
      <c r="K134" t="str">
        <f t="shared" si="2"/>
        <v>OK</v>
      </c>
    </row>
    <row r="135" spans="1:11">
      <c r="A135" t="str">
        <f>Raw_Data!A135</f>
        <v>ORD-0134</v>
      </c>
      <c r="B135" t="s">
        <v>285</v>
      </c>
      <c r="C135" t="str">
        <f>PROPER(TRIM(Raw_Data!C135))</f>
        <v>East</v>
      </c>
      <c r="D135" t="str">
        <f>PROPER(TRIM(Raw_Data!D135))</f>
        <v>Electronics</v>
      </c>
      <c r="E135" t="str">
        <f>PROPER(TRIM(Raw_Data!E135))</f>
        <v>Laptop</v>
      </c>
      <c r="F135" t="str">
        <f>IF(TRIM(Raw_Data!F135)="","Review",PROPER(TRIM(Raw_Data!F135)))</f>
        <v>Existing</v>
      </c>
      <c r="G135">
        <f>Raw_Data!G135</f>
        <v>3</v>
      </c>
      <c r="H135">
        <f>IF(Raw_Data!H135="","",Raw_Data!H135)</f>
        <v>159378.88</v>
      </c>
      <c r="I135">
        <f>IF(Raw_Data!I135="","",Raw_Data!I135)</f>
        <v>-8981.7000000000007</v>
      </c>
      <c r="J135" t="str">
        <f>IF(TRIM(Raw_Data!J135)="","Review",PROPER(TRIM(Raw_Data!J135)))</f>
        <v>Cash</v>
      </c>
      <c r="K135" t="str">
        <f t="shared" si="2"/>
        <v>OK</v>
      </c>
    </row>
    <row r="136" spans="1:11">
      <c r="A136" t="str">
        <f>Raw_Data!A136</f>
        <v>ORD-0135</v>
      </c>
      <c r="B136" t="s">
        <v>287</v>
      </c>
      <c r="C136" t="str">
        <f>PROPER(TRIM(Raw_Data!C136))</f>
        <v>South</v>
      </c>
      <c r="D136" t="str">
        <f>PROPER(TRIM(Raw_Data!D136))</f>
        <v>Clothing</v>
      </c>
      <c r="E136" t="str">
        <f>PROPER(TRIM(Raw_Data!E136))</f>
        <v>Dress</v>
      </c>
      <c r="F136" t="str">
        <f>IF(TRIM(Raw_Data!F136)="","Review",PROPER(TRIM(Raw_Data!F136)))</f>
        <v>Existing</v>
      </c>
      <c r="G136">
        <f>Raw_Data!G136</f>
        <v>5</v>
      </c>
      <c r="H136">
        <f>IF(Raw_Data!H136="","",Raw_Data!H136)</f>
        <v>9367.3799999999992</v>
      </c>
      <c r="I136">
        <f>IF(Raw_Data!I136="","",Raw_Data!I136)</f>
        <v>1925.13</v>
      </c>
      <c r="J136" t="str">
        <f>IF(TRIM(Raw_Data!J136)="","Review",PROPER(TRIM(Raw_Data!J136)))</f>
        <v>Net Banking</v>
      </c>
      <c r="K136" t="str">
        <f t="shared" si="2"/>
        <v>OK</v>
      </c>
    </row>
    <row r="137" spans="1:11">
      <c r="A137" t="str">
        <f>Raw_Data!A137</f>
        <v>ORD-0136</v>
      </c>
      <c r="B137" t="s">
        <v>289</v>
      </c>
      <c r="C137" t="str">
        <f>PROPER(TRIM(Raw_Data!C137))</f>
        <v>East</v>
      </c>
      <c r="D137" t="str">
        <f>PROPER(TRIM(Raw_Data!D137))</f>
        <v>Electronics</v>
      </c>
      <c r="E137" t="str">
        <f>PROPER(TRIM(Raw_Data!E137))</f>
        <v>Keyboard</v>
      </c>
      <c r="F137" t="str">
        <f>IF(TRIM(Raw_Data!F137)="","Review",PROPER(TRIM(Raw_Data!F137)))</f>
        <v>Existing</v>
      </c>
      <c r="G137">
        <f>Raw_Data!G137</f>
        <v>3</v>
      </c>
      <c r="H137">
        <f>IF(Raw_Data!H137="","",Raw_Data!H137)</f>
        <v>5753.61</v>
      </c>
      <c r="I137">
        <f>IF(Raw_Data!I137="","",Raw_Data!I137)</f>
        <v>365.6</v>
      </c>
      <c r="J137" t="str">
        <f>IF(TRIM(Raw_Data!J137)="","Review",PROPER(TRIM(Raw_Data!J137)))</f>
        <v>Cash</v>
      </c>
      <c r="K137" t="str">
        <f t="shared" si="2"/>
        <v>OK</v>
      </c>
    </row>
    <row r="138" spans="1:11">
      <c r="A138" t="str">
        <f>Raw_Data!A138</f>
        <v>ORD-0137</v>
      </c>
      <c r="B138" t="s">
        <v>291</v>
      </c>
      <c r="C138" t="str">
        <f>PROPER(TRIM(Raw_Data!C138))</f>
        <v>North</v>
      </c>
      <c r="D138" t="str">
        <f>PROPER(TRIM(Raw_Data!D138))</f>
        <v>Home</v>
      </c>
      <c r="E138" t="str">
        <f>PROPER(TRIM(Raw_Data!E138))</f>
        <v>Bedsheet</v>
      </c>
      <c r="F138" t="str">
        <f>IF(TRIM(Raw_Data!F138)="","Review",PROPER(TRIM(Raw_Data!F138)))</f>
        <v>New</v>
      </c>
      <c r="G138">
        <f>Raw_Data!G138</f>
        <v>3</v>
      </c>
      <c r="H138" t="str">
        <f>IF(Raw_Data!H138="","",Raw_Data!H138)</f>
        <v/>
      </c>
      <c r="I138">
        <f>IF(Raw_Data!I138="","",Raw_Data!I138)</f>
        <v>766.2</v>
      </c>
      <c r="J138" t="str">
        <f>IF(TRIM(Raw_Data!J138)="","Review",PROPER(TRIM(Raw_Data!J138)))</f>
        <v>Upi</v>
      </c>
      <c r="K138" t="str">
        <f t="shared" si="2"/>
        <v>Review</v>
      </c>
    </row>
    <row r="139" spans="1:11">
      <c r="A139" t="str">
        <f>Raw_Data!A139</f>
        <v>ORD-0138</v>
      </c>
      <c r="B139" t="s">
        <v>293</v>
      </c>
      <c r="C139" t="str">
        <f>PROPER(TRIM(Raw_Data!C139))</f>
        <v>North</v>
      </c>
      <c r="D139" t="str">
        <f>PROPER(TRIM(Raw_Data!D139))</f>
        <v>Electronics</v>
      </c>
      <c r="E139" t="str">
        <f>PROPER(TRIM(Raw_Data!E139))</f>
        <v>Keyboard</v>
      </c>
      <c r="F139" t="str">
        <f>IF(TRIM(Raw_Data!F139)="","Review",PROPER(TRIM(Raw_Data!F139)))</f>
        <v>Existing</v>
      </c>
      <c r="G139">
        <f>Raw_Data!G139</f>
        <v>1</v>
      </c>
      <c r="H139">
        <f>IF(Raw_Data!H139="","",Raw_Data!H139)</f>
        <v>1888.05</v>
      </c>
      <c r="I139">
        <f>IF(Raw_Data!I139="","",Raw_Data!I139)</f>
        <v>102.24</v>
      </c>
      <c r="J139" t="str">
        <f>IF(TRIM(Raw_Data!J139)="","Review",PROPER(TRIM(Raw_Data!J139)))</f>
        <v>Upi</v>
      </c>
      <c r="K139" t="str">
        <f t="shared" si="2"/>
        <v>OK</v>
      </c>
    </row>
    <row r="140" spans="1:11">
      <c r="A140" t="str">
        <f>Raw_Data!A140</f>
        <v>ORD-0139</v>
      </c>
      <c r="B140" t="s">
        <v>206</v>
      </c>
      <c r="C140" t="str">
        <f>PROPER(TRIM(Raw_Data!C140))</f>
        <v>East</v>
      </c>
      <c r="D140" t="str">
        <f>PROPER(TRIM(Raw_Data!D140))</f>
        <v>Clothing</v>
      </c>
      <c r="E140" t="str">
        <f>PROPER(TRIM(Raw_Data!E140))</f>
        <v>Jeans</v>
      </c>
      <c r="F140" t="str">
        <f>IF(TRIM(Raw_Data!F140)="","Review",PROPER(TRIM(Raw_Data!F140)))</f>
        <v>Existing</v>
      </c>
      <c r="G140">
        <f>Raw_Data!G140</f>
        <v>4</v>
      </c>
      <c r="H140">
        <f>IF(Raw_Data!H140="","",Raw_Data!H140)</f>
        <v>6871.16</v>
      </c>
      <c r="I140">
        <f>IF(Raw_Data!I140="","",Raw_Data!I140)</f>
        <v>1233.94</v>
      </c>
      <c r="J140" t="str">
        <f>IF(TRIM(Raw_Data!J140)="","Review",PROPER(TRIM(Raw_Data!J140)))</f>
        <v>Upi</v>
      </c>
      <c r="K140" t="str">
        <f t="shared" si="2"/>
        <v>OK</v>
      </c>
    </row>
    <row r="141" spans="1:11">
      <c r="A141" t="str">
        <f>Raw_Data!A141</f>
        <v>ORD-0140</v>
      </c>
      <c r="B141" t="s">
        <v>77</v>
      </c>
      <c r="C141" t="str">
        <f>PROPER(TRIM(Raw_Data!C141))</f>
        <v>East</v>
      </c>
      <c r="D141" t="str">
        <f>PROPER(TRIM(Raw_Data!D141))</f>
        <v>Home</v>
      </c>
      <c r="E141" t="str">
        <f>PROPER(TRIM(Raw_Data!E141))</f>
        <v>Chair</v>
      </c>
      <c r="F141" t="str">
        <f>IF(TRIM(Raw_Data!F141)="","Review",PROPER(TRIM(Raw_Data!F141)))</f>
        <v>Existing</v>
      </c>
      <c r="G141">
        <f>Raw_Data!G141</f>
        <v>2</v>
      </c>
      <c r="H141">
        <f>IF(Raw_Data!H141="","",Raw_Data!H141)</f>
        <v>8378.51</v>
      </c>
      <c r="I141">
        <f>IF(Raw_Data!I141="","",Raw_Data!I141)</f>
        <v>784.13</v>
      </c>
      <c r="J141" t="str">
        <f>IF(TRIM(Raw_Data!J141)="","Review",PROPER(TRIM(Raw_Data!J141)))</f>
        <v>Upi</v>
      </c>
      <c r="K141" t="str">
        <f t="shared" si="2"/>
        <v>OK</v>
      </c>
    </row>
    <row r="142" spans="1:11">
      <c r="A142" t="str">
        <f>Raw_Data!A142</f>
        <v>ORD-0141</v>
      </c>
      <c r="B142" t="s">
        <v>297</v>
      </c>
      <c r="C142" t="str">
        <f>PROPER(TRIM(Raw_Data!C142))</f>
        <v>North</v>
      </c>
      <c r="D142" t="str">
        <f>PROPER(TRIM(Raw_Data!D142))</f>
        <v>Clothing</v>
      </c>
      <c r="E142" t="str">
        <f>PROPER(TRIM(Raw_Data!E142))</f>
        <v>Dress</v>
      </c>
      <c r="F142" t="str">
        <f>IF(TRIM(Raw_Data!F142)="","Review",PROPER(TRIM(Raw_Data!F142)))</f>
        <v>Existing</v>
      </c>
      <c r="G142">
        <f>Raw_Data!G142</f>
        <v>2</v>
      </c>
      <c r="H142">
        <f>IF(Raw_Data!H142="","",Raw_Data!H142)</f>
        <v>4033.49</v>
      </c>
      <c r="I142">
        <f>IF(Raw_Data!I142="","",Raw_Data!I142)</f>
        <v>904.53</v>
      </c>
      <c r="J142" t="str">
        <f>IF(TRIM(Raw_Data!J142)="","Review",PROPER(TRIM(Raw_Data!J142)))</f>
        <v>Upi</v>
      </c>
      <c r="K142" t="str">
        <f t="shared" si="2"/>
        <v>OK</v>
      </c>
    </row>
    <row r="143" spans="1:11">
      <c r="A143" t="str">
        <f>Raw_Data!A143</f>
        <v>ORD-0142</v>
      </c>
      <c r="B143" t="s">
        <v>299</v>
      </c>
      <c r="C143" t="str">
        <f>PROPER(TRIM(Raw_Data!C143))</f>
        <v>South</v>
      </c>
      <c r="D143" t="str">
        <f>PROPER(TRIM(Raw_Data!D143))</f>
        <v>Electronics</v>
      </c>
      <c r="E143" t="str">
        <f>PROPER(TRIM(Raw_Data!E143))</f>
        <v>Smartphone</v>
      </c>
      <c r="F143" t="str">
        <f>IF(TRIM(Raw_Data!F143)="","Review",PROPER(TRIM(Raw_Data!F143)))</f>
        <v>Existing</v>
      </c>
      <c r="G143">
        <f>Raw_Data!G143</f>
        <v>3</v>
      </c>
      <c r="H143">
        <f>IF(Raw_Data!H143="","",Raw_Data!H143)</f>
        <v>91081.83</v>
      </c>
      <c r="I143">
        <f>IF(Raw_Data!I143="","",Raw_Data!I143)</f>
        <v>4223.32</v>
      </c>
      <c r="J143" t="str">
        <f>IF(TRIM(Raw_Data!J143)="","Review",PROPER(TRIM(Raw_Data!J143)))</f>
        <v>Upi</v>
      </c>
      <c r="K143" t="str">
        <f t="shared" si="2"/>
        <v>OK</v>
      </c>
    </row>
    <row r="144" spans="1:11">
      <c r="A144" t="str">
        <f>Raw_Data!A144</f>
        <v>ORD-0143</v>
      </c>
      <c r="B144" t="s">
        <v>154</v>
      </c>
      <c r="C144" t="str">
        <f>PROPER(TRIM(Raw_Data!C144))</f>
        <v>West</v>
      </c>
      <c r="D144" t="str">
        <f>PROPER(TRIM(Raw_Data!D144))</f>
        <v>Electronics</v>
      </c>
      <c r="E144" t="str">
        <f>PROPER(TRIM(Raw_Data!E144))</f>
        <v>Laptop</v>
      </c>
      <c r="F144" t="str">
        <f>IF(TRIM(Raw_Data!F144)="","Review",PROPER(TRIM(Raw_Data!F144)))</f>
        <v>Existing</v>
      </c>
      <c r="G144">
        <f>Raw_Data!G144</f>
        <v>1</v>
      </c>
      <c r="H144">
        <f>IF(Raw_Data!H144="","",Raw_Data!H144)</f>
        <v>54559.56</v>
      </c>
      <c r="I144">
        <f>IF(Raw_Data!I144="","",Raw_Data!I144)</f>
        <v>-139.24</v>
      </c>
      <c r="J144" t="str">
        <f>IF(TRIM(Raw_Data!J144)="","Review",PROPER(TRIM(Raw_Data!J144)))</f>
        <v>Card</v>
      </c>
      <c r="K144" t="str">
        <f t="shared" si="2"/>
        <v>OK</v>
      </c>
    </row>
    <row r="145" spans="1:11">
      <c r="A145" t="str">
        <f>Raw_Data!A145</f>
        <v>ORD-0144</v>
      </c>
      <c r="B145" t="s">
        <v>302</v>
      </c>
      <c r="C145" t="str">
        <f>PROPER(TRIM(Raw_Data!C145))</f>
        <v>North</v>
      </c>
      <c r="D145" t="str">
        <f>PROPER(TRIM(Raw_Data!D145))</f>
        <v>Clothing</v>
      </c>
      <c r="E145" t="str">
        <f>PROPER(TRIM(Raw_Data!E145))</f>
        <v>Jeans</v>
      </c>
      <c r="F145" t="str">
        <f>IF(TRIM(Raw_Data!F145)="","Review",PROPER(TRIM(Raw_Data!F145)))</f>
        <v>New</v>
      </c>
      <c r="G145">
        <f>Raw_Data!G145</f>
        <v>3</v>
      </c>
      <c r="H145">
        <f>IF(Raw_Data!H145="","",Raw_Data!H145)</f>
        <v>5065.76</v>
      </c>
      <c r="I145">
        <f>IF(Raw_Data!I145="","",Raw_Data!I145)</f>
        <v>629.84</v>
      </c>
      <c r="J145" t="str">
        <f>IF(TRIM(Raw_Data!J145)="","Review",PROPER(TRIM(Raw_Data!J145)))</f>
        <v>Card</v>
      </c>
      <c r="K145" t="str">
        <f t="shared" si="2"/>
        <v>OK</v>
      </c>
    </row>
    <row r="146" spans="1:11">
      <c r="A146" t="str">
        <f>Raw_Data!A146</f>
        <v>ORD-0145</v>
      </c>
      <c r="B146" t="s">
        <v>304</v>
      </c>
      <c r="C146" t="str">
        <f>PROPER(TRIM(Raw_Data!C146))</f>
        <v>West</v>
      </c>
      <c r="D146" t="str">
        <f>PROPER(TRIM(Raw_Data!D146))</f>
        <v>Home</v>
      </c>
      <c r="E146" t="str">
        <f>PROPER(TRIM(Raw_Data!E146))</f>
        <v>Blender</v>
      </c>
      <c r="F146" t="str">
        <f>IF(TRIM(Raw_Data!F146)="","Review",PROPER(TRIM(Raw_Data!F146)))</f>
        <v>Existing</v>
      </c>
      <c r="G146">
        <f>Raw_Data!G146</f>
        <v>1</v>
      </c>
      <c r="H146">
        <f>IF(Raw_Data!H146="","",Raw_Data!H146)</f>
        <v>3054.15</v>
      </c>
      <c r="I146">
        <f>IF(Raw_Data!I146="","",Raw_Data!I146)</f>
        <v>483.47</v>
      </c>
      <c r="J146" t="str">
        <f>IF(TRIM(Raw_Data!J146)="","Review",PROPER(TRIM(Raw_Data!J146)))</f>
        <v>Cash</v>
      </c>
      <c r="K146" t="str">
        <f t="shared" si="2"/>
        <v>OK</v>
      </c>
    </row>
    <row r="147" spans="1:11">
      <c r="A147" t="str">
        <f>Raw_Data!A147</f>
        <v>ORD-0146</v>
      </c>
      <c r="B147" t="s">
        <v>156</v>
      </c>
      <c r="C147" t="str">
        <f>PROPER(TRIM(Raw_Data!C147))</f>
        <v>West</v>
      </c>
      <c r="D147" t="str">
        <f>PROPER(TRIM(Raw_Data!D147))</f>
        <v>Electronics</v>
      </c>
      <c r="E147" t="str">
        <f>PROPER(TRIM(Raw_Data!E147))</f>
        <v>Monitor</v>
      </c>
      <c r="F147" t="str">
        <f>IF(TRIM(Raw_Data!F147)="","Review",PROPER(TRIM(Raw_Data!F147)))</f>
        <v>Existing</v>
      </c>
      <c r="G147">
        <f>Raw_Data!G147</f>
        <v>1</v>
      </c>
      <c r="H147">
        <f>IF(Raw_Data!H147="","",Raw_Data!H147)</f>
        <v>11628.41</v>
      </c>
      <c r="I147">
        <f>IF(Raw_Data!I147="","",Raw_Data!I147)</f>
        <v>-466.06</v>
      </c>
      <c r="J147" t="str">
        <f>IF(TRIM(Raw_Data!J147)="","Review",PROPER(TRIM(Raw_Data!J147)))</f>
        <v>Upi</v>
      </c>
      <c r="K147" t="str">
        <f t="shared" si="2"/>
        <v>OK</v>
      </c>
    </row>
    <row r="148" spans="1:11">
      <c r="A148" t="str">
        <f>Raw_Data!A148</f>
        <v>ORD-0147</v>
      </c>
      <c r="B148" t="s">
        <v>160</v>
      </c>
      <c r="C148" t="str">
        <f>PROPER(TRIM(Raw_Data!C148))</f>
        <v>South</v>
      </c>
      <c r="D148" t="str">
        <f>PROPER(TRIM(Raw_Data!D148))</f>
        <v>Electronics</v>
      </c>
      <c r="E148" t="str">
        <f>PROPER(TRIM(Raw_Data!E148))</f>
        <v>Keyboard</v>
      </c>
      <c r="F148" t="str">
        <f>IF(TRIM(Raw_Data!F148)="","Review",PROPER(TRIM(Raw_Data!F148)))</f>
        <v>Existing</v>
      </c>
      <c r="G148">
        <f>Raw_Data!G148</f>
        <v>5</v>
      </c>
      <c r="H148">
        <f>IF(Raw_Data!H148="","",Raw_Data!H148)</f>
        <v>8198.61</v>
      </c>
      <c r="I148">
        <f>IF(Raw_Data!I148="","",Raw_Data!I148)</f>
        <v>-52.53</v>
      </c>
      <c r="J148" t="str">
        <f>IF(TRIM(Raw_Data!J148)="","Review",PROPER(TRIM(Raw_Data!J148)))</f>
        <v>Cash</v>
      </c>
      <c r="K148" t="str">
        <f t="shared" si="2"/>
        <v>OK</v>
      </c>
    </row>
    <row r="149" spans="1:11">
      <c r="A149" t="str">
        <f>Raw_Data!A149</f>
        <v>ORD-0148</v>
      </c>
      <c r="B149" t="s">
        <v>293</v>
      </c>
      <c r="C149" t="str">
        <f>PROPER(TRIM(Raw_Data!C149))</f>
        <v>West</v>
      </c>
      <c r="D149" t="str">
        <f>PROPER(TRIM(Raw_Data!D149))</f>
        <v>Clothing</v>
      </c>
      <c r="E149" t="str">
        <f>PROPER(TRIM(Raw_Data!E149))</f>
        <v>Jacket</v>
      </c>
      <c r="F149" t="str">
        <f>IF(TRIM(Raw_Data!F149)="","Review",PROPER(TRIM(Raw_Data!F149)))</f>
        <v>New</v>
      </c>
      <c r="G149">
        <f>Raw_Data!G149</f>
        <v>1</v>
      </c>
      <c r="H149">
        <f>IF(Raw_Data!H149="","",Raw_Data!H149)</f>
        <v>2198.85</v>
      </c>
      <c r="I149">
        <f>IF(Raw_Data!I149="","",Raw_Data!I149)</f>
        <v>164.99</v>
      </c>
      <c r="J149" t="str">
        <f>IF(TRIM(Raw_Data!J149)="","Review",PROPER(TRIM(Raw_Data!J149)))</f>
        <v>Cash</v>
      </c>
      <c r="K149" t="str">
        <f t="shared" si="2"/>
        <v>OK</v>
      </c>
    </row>
    <row r="150" spans="1:11">
      <c r="A150" t="str">
        <f>Raw_Data!A150</f>
        <v>ORD-0149</v>
      </c>
      <c r="B150" t="s">
        <v>309</v>
      </c>
      <c r="C150" t="str">
        <f>PROPER(TRIM(Raw_Data!C150))</f>
        <v>East</v>
      </c>
      <c r="D150" t="str">
        <f>PROPER(TRIM(Raw_Data!D150))</f>
        <v>Electronics</v>
      </c>
      <c r="E150" t="str">
        <f>PROPER(TRIM(Raw_Data!E150))</f>
        <v>Keyboard</v>
      </c>
      <c r="F150" t="str">
        <f>IF(TRIM(Raw_Data!F150)="","Review",PROPER(TRIM(Raw_Data!F150)))</f>
        <v>Existing</v>
      </c>
      <c r="G150">
        <f>Raw_Data!G150</f>
        <v>1</v>
      </c>
      <c r="H150">
        <f>IF(Raw_Data!H150="","",Raw_Data!H150)</f>
        <v>1777.04</v>
      </c>
      <c r="I150">
        <f>IF(Raw_Data!I150="","",Raw_Data!I150)</f>
        <v>151.96</v>
      </c>
      <c r="J150" t="str">
        <f>IF(TRIM(Raw_Data!J150)="","Review",PROPER(TRIM(Raw_Data!J150)))</f>
        <v>Net Banking</v>
      </c>
      <c r="K150" t="str">
        <f t="shared" si="2"/>
        <v>OK</v>
      </c>
    </row>
    <row r="151" spans="1:11">
      <c r="A151" t="str">
        <f>Raw_Data!A151</f>
        <v>ORD-0150</v>
      </c>
      <c r="B151" t="s">
        <v>311</v>
      </c>
      <c r="C151" t="str">
        <f>PROPER(TRIM(Raw_Data!C151))</f>
        <v>South</v>
      </c>
      <c r="D151" t="str">
        <f>PROPER(TRIM(Raw_Data!D151))</f>
        <v>Home</v>
      </c>
      <c r="E151" t="str">
        <f>PROPER(TRIM(Raw_Data!E151))</f>
        <v>Cookware Set</v>
      </c>
      <c r="F151" t="str">
        <f>IF(TRIM(Raw_Data!F151)="","Review",PROPER(TRIM(Raw_Data!F151)))</f>
        <v>Existing</v>
      </c>
      <c r="G151">
        <f>Raw_Data!G151</f>
        <v>3</v>
      </c>
      <c r="H151">
        <f>IF(Raw_Data!H151="","",Raw_Data!H151)</f>
        <v>7753.49</v>
      </c>
      <c r="I151">
        <f>IF(Raw_Data!I151="","",Raw_Data!I151)</f>
        <v>-562.05999999999995</v>
      </c>
      <c r="J151" t="str">
        <f>IF(TRIM(Raw_Data!J151)="","Review",PROPER(TRIM(Raw_Data!J151)))</f>
        <v>Cash</v>
      </c>
      <c r="K151" t="str">
        <f t="shared" si="2"/>
        <v>OK</v>
      </c>
    </row>
    <row r="152" spans="1:11">
      <c r="A152" t="str">
        <f>Raw_Data!A152</f>
        <v>ORD-0151</v>
      </c>
      <c r="B152" t="s">
        <v>190</v>
      </c>
      <c r="C152" t="str">
        <f>PROPER(TRIM(Raw_Data!C152))</f>
        <v>North</v>
      </c>
      <c r="D152" t="str">
        <f>PROPER(TRIM(Raw_Data!D152))</f>
        <v>Electronics</v>
      </c>
      <c r="E152" t="str">
        <f>PROPER(TRIM(Raw_Data!E152))</f>
        <v>Keyboard</v>
      </c>
      <c r="F152" t="str">
        <f>IF(TRIM(Raw_Data!F152)="","Review",PROPER(TRIM(Raw_Data!F152)))</f>
        <v>Existing</v>
      </c>
      <c r="G152">
        <f>Raw_Data!G152</f>
        <v>1</v>
      </c>
      <c r="H152">
        <f>IF(Raw_Data!H152="","",Raw_Data!H152)</f>
        <v>1707.59</v>
      </c>
      <c r="I152">
        <f>IF(Raw_Data!I152="","",Raw_Data!I152)</f>
        <v>225.39</v>
      </c>
      <c r="J152" t="str">
        <f>IF(TRIM(Raw_Data!J152)="","Review",PROPER(TRIM(Raw_Data!J152)))</f>
        <v>Cash</v>
      </c>
      <c r="K152" t="str">
        <f t="shared" si="2"/>
        <v>OK</v>
      </c>
    </row>
    <row r="153" spans="1:11">
      <c r="A153" t="str">
        <f>Raw_Data!A153</f>
        <v>ORD-0152</v>
      </c>
      <c r="B153" t="s">
        <v>314</v>
      </c>
      <c r="C153" t="str">
        <f>PROPER(TRIM(Raw_Data!C153))</f>
        <v>North</v>
      </c>
      <c r="D153" t="str">
        <f>PROPER(TRIM(Raw_Data!D153))</f>
        <v>Home</v>
      </c>
      <c r="E153" t="str">
        <f>PROPER(TRIM(Raw_Data!E153))</f>
        <v>Bedsheet</v>
      </c>
      <c r="F153" t="str">
        <f>IF(TRIM(Raw_Data!F153)="","Review",PROPER(TRIM(Raw_Data!F153)))</f>
        <v>New</v>
      </c>
      <c r="G153">
        <f>Raw_Data!G153</f>
        <v>2</v>
      </c>
      <c r="H153">
        <f>IF(Raw_Data!H153="","",Raw_Data!H153)</f>
        <v>2706.52</v>
      </c>
      <c r="I153">
        <f>IF(Raw_Data!I153="","",Raw_Data!I153)</f>
        <v>-52.7</v>
      </c>
      <c r="J153" t="str">
        <f>IF(TRIM(Raw_Data!J153)="","Review",PROPER(TRIM(Raw_Data!J153)))</f>
        <v>Cash</v>
      </c>
      <c r="K153" t="str">
        <f t="shared" si="2"/>
        <v>OK</v>
      </c>
    </row>
    <row r="154" spans="1:11">
      <c r="A154" t="str">
        <f>Raw_Data!A154</f>
        <v>ORD-0153</v>
      </c>
      <c r="B154" t="s">
        <v>204</v>
      </c>
      <c r="C154" t="str">
        <f>PROPER(TRIM(Raw_Data!C154))</f>
        <v>South</v>
      </c>
      <c r="D154" t="str">
        <f>PROPER(TRIM(Raw_Data!D154))</f>
        <v>Clothing</v>
      </c>
      <c r="E154" t="str">
        <f>PROPER(TRIM(Raw_Data!E154))</f>
        <v>T-Shirt</v>
      </c>
      <c r="F154" t="str">
        <f>IF(TRIM(Raw_Data!F154)="","Review",PROPER(TRIM(Raw_Data!F154)))</f>
        <v>New</v>
      </c>
      <c r="G154">
        <f>Raw_Data!G154</f>
        <v>2</v>
      </c>
      <c r="H154">
        <f>IF(Raw_Data!H154="","",Raw_Data!H154)</f>
        <v>1288.79</v>
      </c>
      <c r="I154">
        <f>IF(Raw_Data!I154="","",Raw_Data!I154)</f>
        <v>15.66</v>
      </c>
      <c r="J154" t="str">
        <f>IF(TRIM(Raw_Data!J154)="","Review",PROPER(TRIM(Raw_Data!J154)))</f>
        <v>Card</v>
      </c>
      <c r="K154" t="str">
        <f t="shared" si="2"/>
        <v>OK</v>
      </c>
    </row>
    <row r="155" spans="1:11">
      <c r="A155" t="str">
        <f>Raw_Data!A155</f>
        <v>ORD-0154</v>
      </c>
      <c r="B155" t="s">
        <v>317</v>
      </c>
      <c r="C155" t="str">
        <f>PROPER(TRIM(Raw_Data!C155))</f>
        <v>East</v>
      </c>
      <c r="D155" t="str">
        <f>PROPER(TRIM(Raw_Data!D155))</f>
        <v>Home</v>
      </c>
      <c r="E155" t="str">
        <f>PROPER(TRIM(Raw_Data!E155))</f>
        <v>Cookware Set</v>
      </c>
      <c r="F155" t="str">
        <f>IF(TRIM(Raw_Data!F155)="","Review",PROPER(TRIM(Raw_Data!F155)))</f>
        <v>Existing</v>
      </c>
      <c r="G155">
        <f>Raw_Data!G155</f>
        <v>4</v>
      </c>
      <c r="H155">
        <f>IF(Raw_Data!H155="","",Raw_Data!H155)</f>
        <v>11769.96</v>
      </c>
      <c r="I155">
        <f>IF(Raw_Data!I155="","",Raw_Data!I155)</f>
        <v>2278.14</v>
      </c>
      <c r="J155" t="str">
        <f>IF(TRIM(Raw_Data!J155)="","Review",PROPER(TRIM(Raw_Data!J155)))</f>
        <v>Card</v>
      </c>
      <c r="K155" t="str">
        <f t="shared" si="2"/>
        <v>OK</v>
      </c>
    </row>
    <row r="156" spans="1:11">
      <c r="A156" t="str">
        <f>Raw_Data!A156</f>
        <v>ORD-0155</v>
      </c>
      <c r="B156" t="s">
        <v>285</v>
      </c>
      <c r="C156" t="str">
        <f>PROPER(TRIM(Raw_Data!C156))</f>
        <v>North</v>
      </c>
      <c r="D156" t="str">
        <f>PROPER(TRIM(Raw_Data!D156))</f>
        <v>Clothing</v>
      </c>
      <c r="E156" t="str">
        <f>PROPER(TRIM(Raw_Data!E156))</f>
        <v>Jacket</v>
      </c>
      <c r="F156" t="str">
        <f>IF(TRIM(Raw_Data!F156)="","Review",PROPER(TRIM(Raw_Data!F156)))</f>
        <v>Existing</v>
      </c>
      <c r="G156">
        <f>Raw_Data!G156</f>
        <v>4</v>
      </c>
      <c r="H156">
        <f>IF(Raw_Data!H156="","",Raw_Data!H156)</f>
        <v>8698.2900000000009</v>
      </c>
      <c r="I156">
        <f>IF(Raw_Data!I156="","",Raw_Data!I156)</f>
        <v>252.38</v>
      </c>
      <c r="J156" t="str">
        <f>IF(TRIM(Raw_Data!J156)="","Review",PROPER(TRIM(Raw_Data!J156)))</f>
        <v>Upi</v>
      </c>
      <c r="K156" t="str">
        <f t="shared" si="2"/>
        <v>OK</v>
      </c>
    </row>
    <row r="157" spans="1:11">
      <c r="A157" t="str">
        <f>Raw_Data!A157</f>
        <v>ORD-0156</v>
      </c>
      <c r="B157" t="s">
        <v>320</v>
      </c>
      <c r="C157" t="str">
        <f>PROPER(TRIM(Raw_Data!C157))</f>
        <v>North</v>
      </c>
      <c r="D157" t="str">
        <f>PROPER(TRIM(Raw_Data!D157))</f>
        <v>Clothing</v>
      </c>
      <c r="E157" t="str">
        <f>PROPER(TRIM(Raw_Data!E157))</f>
        <v>Sneakers</v>
      </c>
      <c r="F157" t="str">
        <f>IF(TRIM(Raw_Data!F157)="","Review",PROPER(TRIM(Raw_Data!F157)))</f>
        <v>New</v>
      </c>
      <c r="G157">
        <f>Raw_Data!G157</f>
        <v>4</v>
      </c>
      <c r="H157">
        <f>IF(Raw_Data!H157="","",Raw_Data!H157)</f>
        <v>12705.3</v>
      </c>
      <c r="I157">
        <f>IF(Raw_Data!I157="","",Raw_Data!I157)</f>
        <v>670.15</v>
      </c>
      <c r="J157" t="str">
        <f>IF(TRIM(Raw_Data!J157)="","Review",PROPER(TRIM(Raw_Data!J157)))</f>
        <v>Net Banking</v>
      </c>
      <c r="K157" t="str">
        <f t="shared" si="2"/>
        <v>OK</v>
      </c>
    </row>
    <row r="158" spans="1:11">
      <c r="A158" t="str">
        <f>Raw_Data!A158</f>
        <v>ORD-0157</v>
      </c>
      <c r="B158" t="s">
        <v>172</v>
      </c>
      <c r="C158" t="str">
        <f>PROPER(TRIM(Raw_Data!C158))</f>
        <v>West</v>
      </c>
      <c r="D158" t="str">
        <f>PROPER(TRIM(Raw_Data!D158))</f>
        <v>Clothing</v>
      </c>
      <c r="E158" t="str">
        <f>PROPER(TRIM(Raw_Data!E158))</f>
        <v>Dress</v>
      </c>
      <c r="F158" t="str">
        <f>IF(TRIM(Raw_Data!F158)="","Review",PROPER(TRIM(Raw_Data!F158)))</f>
        <v>New</v>
      </c>
      <c r="G158">
        <f>Raw_Data!G158</f>
        <v>5</v>
      </c>
      <c r="H158">
        <f>IF(Raw_Data!H158="","",Raw_Data!H158)</f>
        <v>10363.040000000001</v>
      </c>
      <c r="I158">
        <f>IF(Raw_Data!I158="","",Raw_Data!I158)</f>
        <v>1927.65</v>
      </c>
      <c r="J158" t="str">
        <f>IF(TRIM(Raw_Data!J158)="","Review",PROPER(TRIM(Raw_Data!J158)))</f>
        <v>Cash</v>
      </c>
      <c r="K158" t="str">
        <f t="shared" si="2"/>
        <v>OK</v>
      </c>
    </row>
    <row r="159" spans="1:11">
      <c r="A159" t="str">
        <f>Raw_Data!A159</f>
        <v>ORD-0158</v>
      </c>
      <c r="B159" t="s">
        <v>323</v>
      </c>
      <c r="C159" t="str">
        <f>PROPER(TRIM(Raw_Data!C159))</f>
        <v>East</v>
      </c>
      <c r="D159" t="str">
        <f>PROPER(TRIM(Raw_Data!D159))</f>
        <v>Home</v>
      </c>
      <c r="E159" t="str">
        <f>PROPER(TRIM(Raw_Data!E159))</f>
        <v>Cookware Set</v>
      </c>
      <c r="F159" t="str">
        <f>IF(TRIM(Raw_Data!F159)="","Review",PROPER(TRIM(Raw_Data!F159)))</f>
        <v>New</v>
      </c>
      <c r="G159">
        <f>Raw_Data!G159</f>
        <v>5</v>
      </c>
      <c r="H159">
        <f>IF(Raw_Data!H159="","",Raw_Data!H159)</f>
        <v>13022.41</v>
      </c>
      <c r="I159">
        <f>IF(Raw_Data!I159="","",Raw_Data!I159)</f>
        <v>-751.72</v>
      </c>
      <c r="J159" t="str">
        <f>IF(TRIM(Raw_Data!J159)="","Review",PROPER(TRIM(Raw_Data!J159)))</f>
        <v>Card</v>
      </c>
      <c r="K159" t="str">
        <f t="shared" si="2"/>
        <v>OK</v>
      </c>
    </row>
    <row r="160" spans="1:11">
      <c r="A160" t="str">
        <f>Raw_Data!A160</f>
        <v>ORD-0159</v>
      </c>
      <c r="B160" t="s">
        <v>325</v>
      </c>
      <c r="C160" t="str">
        <f>PROPER(TRIM(Raw_Data!C160))</f>
        <v>South</v>
      </c>
      <c r="D160" t="str">
        <f>PROPER(TRIM(Raw_Data!D160))</f>
        <v>Electronics</v>
      </c>
      <c r="E160" t="str">
        <f>PROPER(TRIM(Raw_Data!E160))</f>
        <v>Headphones</v>
      </c>
      <c r="F160" t="str">
        <f>IF(TRIM(Raw_Data!F160)="","Review",PROPER(TRIM(Raw_Data!F160)))</f>
        <v>Existing</v>
      </c>
      <c r="G160">
        <f>Raw_Data!G160</f>
        <v>4</v>
      </c>
      <c r="H160">
        <f>IF(Raw_Data!H160="","",Raw_Data!H160)</f>
        <v>10981.97</v>
      </c>
      <c r="I160">
        <f>IF(Raw_Data!I160="","",Raw_Data!I160)</f>
        <v>1193.3499999999999</v>
      </c>
      <c r="J160" t="str">
        <f>IF(TRIM(Raw_Data!J160)="","Review",PROPER(TRIM(Raw_Data!J160)))</f>
        <v>Cash</v>
      </c>
      <c r="K160" t="str">
        <f t="shared" si="2"/>
        <v>OK</v>
      </c>
    </row>
    <row r="161" spans="1:11">
      <c r="A161" t="str">
        <f>Raw_Data!A161</f>
        <v>ORD-0160</v>
      </c>
      <c r="B161" t="s">
        <v>327</v>
      </c>
      <c r="C161" t="str">
        <f>PROPER(TRIM(Raw_Data!C161))</f>
        <v>East</v>
      </c>
      <c r="D161" t="str">
        <f>PROPER(TRIM(Raw_Data!D161))</f>
        <v>Clothing</v>
      </c>
      <c r="E161" t="str">
        <f>PROPER(TRIM(Raw_Data!E161))</f>
        <v>Sneakers</v>
      </c>
      <c r="F161" t="str">
        <f>IF(TRIM(Raw_Data!F161)="","Review",PROPER(TRIM(Raw_Data!F161)))</f>
        <v>New</v>
      </c>
      <c r="G161">
        <f>Raw_Data!G161</f>
        <v>4</v>
      </c>
      <c r="H161">
        <f>IF(Raw_Data!H161="","",Raw_Data!H161)</f>
        <v>14768.5</v>
      </c>
      <c r="I161">
        <f>IF(Raw_Data!I161="","",Raw_Data!I161)</f>
        <v>2427.9899999999998</v>
      </c>
      <c r="J161" t="str">
        <f>IF(TRIM(Raw_Data!J161)="","Review",PROPER(TRIM(Raw_Data!J161)))</f>
        <v>Cash</v>
      </c>
      <c r="K161" t="str">
        <f t="shared" si="2"/>
        <v>OK</v>
      </c>
    </row>
    <row r="162" spans="1:11">
      <c r="A162" t="str">
        <f>Raw_Data!A162</f>
        <v>ORD-0161</v>
      </c>
      <c r="B162" t="s">
        <v>329</v>
      </c>
      <c r="C162" t="str">
        <f>PROPER(TRIM(Raw_Data!C162))</f>
        <v>South</v>
      </c>
      <c r="D162" t="str">
        <f>PROPER(TRIM(Raw_Data!D162))</f>
        <v>Electronics</v>
      </c>
      <c r="E162" t="str">
        <f>PROPER(TRIM(Raw_Data!E162))</f>
        <v>Monitor</v>
      </c>
      <c r="F162" t="str">
        <f>IF(TRIM(Raw_Data!F162)="","Review",PROPER(TRIM(Raw_Data!F162)))</f>
        <v>Existing</v>
      </c>
      <c r="G162">
        <f>Raw_Data!G162</f>
        <v>4</v>
      </c>
      <c r="H162">
        <f>IF(Raw_Data!H162="","",Raw_Data!H162)</f>
        <v>45927.81</v>
      </c>
      <c r="I162">
        <f>IF(Raw_Data!I162="","",Raw_Data!I162)</f>
        <v>8292</v>
      </c>
      <c r="J162" t="str">
        <f>IF(TRIM(Raw_Data!J162)="","Review",PROPER(TRIM(Raw_Data!J162)))</f>
        <v>Upi</v>
      </c>
      <c r="K162" t="str">
        <f t="shared" si="2"/>
        <v>OK</v>
      </c>
    </row>
    <row r="163" spans="1:11">
      <c r="A163" t="str">
        <f>Raw_Data!A163</f>
        <v>ORD-0162</v>
      </c>
      <c r="B163" t="s">
        <v>331</v>
      </c>
      <c r="C163" t="str">
        <f>PROPER(TRIM(Raw_Data!C163))</f>
        <v>West</v>
      </c>
      <c r="D163" t="str">
        <f>PROPER(TRIM(Raw_Data!D163))</f>
        <v>Home</v>
      </c>
      <c r="E163" t="str">
        <f>PROPER(TRIM(Raw_Data!E163))</f>
        <v>Desk Lamp</v>
      </c>
      <c r="F163" t="str">
        <f>IF(TRIM(Raw_Data!F163)="","Review",PROPER(TRIM(Raw_Data!F163)))</f>
        <v>New</v>
      </c>
      <c r="G163">
        <f>Raw_Data!G163</f>
        <v>3</v>
      </c>
      <c r="H163">
        <f>IF(Raw_Data!H163="","",Raw_Data!H163)</f>
        <v>2597.5300000000002</v>
      </c>
      <c r="I163">
        <f>IF(Raw_Data!I163="","",Raw_Data!I163)</f>
        <v>405.68</v>
      </c>
      <c r="J163" t="str">
        <f>IF(TRIM(Raw_Data!J163)="","Review",PROPER(TRIM(Raw_Data!J163)))</f>
        <v>Upi</v>
      </c>
      <c r="K163" t="str">
        <f t="shared" si="2"/>
        <v>OK</v>
      </c>
    </row>
    <row r="164" spans="1:11">
      <c r="A164" t="str">
        <f>Raw_Data!A164</f>
        <v>ORD-0163</v>
      </c>
      <c r="B164" t="s">
        <v>333</v>
      </c>
      <c r="C164" t="str">
        <f>PROPER(TRIM(Raw_Data!C164))</f>
        <v>North</v>
      </c>
      <c r="D164" t="str">
        <f>PROPER(TRIM(Raw_Data!D164))</f>
        <v>Clothing</v>
      </c>
      <c r="E164" t="str">
        <f>PROPER(TRIM(Raw_Data!E164))</f>
        <v>Dress</v>
      </c>
      <c r="F164" t="str">
        <f>IF(TRIM(Raw_Data!F164)="","Review",PROPER(TRIM(Raw_Data!F164)))</f>
        <v>Existing</v>
      </c>
      <c r="G164">
        <f>Raw_Data!G164</f>
        <v>4</v>
      </c>
      <c r="H164">
        <f>IF(Raw_Data!H164="","",Raw_Data!H164)</f>
        <v>7818.11</v>
      </c>
      <c r="I164">
        <f>IF(Raw_Data!I164="","",Raw_Data!I164)</f>
        <v>299.05</v>
      </c>
      <c r="J164" t="str">
        <f>IF(TRIM(Raw_Data!J164)="","Review",PROPER(TRIM(Raw_Data!J164)))</f>
        <v>Cash</v>
      </c>
      <c r="K164" t="str">
        <f t="shared" si="2"/>
        <v>OK</v>
      </c>
    </row>
    <row r="165" spans="1:11">
      <c r="A165" t="str">
        <f>Raw_Data!A165</f>
        <v>ORD-0164</v>
      </c>
      <c r="B165" t="s">
        <v>304</v>
      </c>
      <c r="C165" t="str">
        <f>PROPER(TRIM(Raw_Data!C165))</f>
        <v>South</v>
      </c>
      <c r="D165" t="str">
        <f>PROPER(TRIM(Raw_Data!D165))</f>
        <v>Electronics</v>
      </c>
      <c r="E165" t="str">
        <f>PROPER(TRIM(Raw_Data!E165))</f>
        <v>Smartphone</v>
      </c>
      <c r="F165" t="str">
        <f>IF(TRIM(Raw_Data!F165)="","Review",PROPER(TRIM(Raw_Data!F165)))</f>
        <v>New</v>
      </c>
      <c r="G165">
        <f>Raw_Data!G165</f>
        <v>3</v>
      </c>
      <c r="H165">
        <f>IF(Raw_Data!H165="","",Raw_Data!H165)</f>
        <v>78628.42</v>
      </c>
      <c r="I165">
        <f>IF(Raw_Data!I165="","",Raw_Data!I165)</f>
        <v>-227.29</v>
      </c>
      <c r="J165" t="str">
        <f>IF(TRIM(Raw_Data!J165)="","Review",PROPER(TRIM(Raw_Data!J165)))</f>
        <v>Card</v>
      </c>
      <c r="K165" t="str">
        <f t="shared" si="2"/>
        <v>OK</v>
      </c>
    </row>
    <row r="166" spans="1:11">
      <c r="A166" t="str">
        <f>Raw_Data!A166</f>
        <v>ORD-0165</v>
      </c>
      <c r="B166" t="s">
        <v>336</v>
      </c>
      <c r="C166" t="str">
        <f>PROPER(TRIM(Raw_Data!C166))</f>
        <v>North</v>
      </c>
      <c r="D166" t="str">
        <f>PROPER(TRIM(Raw_Data!D166))</f>
        <v>Electronics</v>
      </c>
      <c r="E166" t="str">
        <f>PROPER(TRIM(Raw_Data!E166))</f>
        <v>Laptop</v>
      </c>
      <c r="F166" t="str">
        <f>IF(TRIM(Raw_Data!F166)="","Review",PROPER(TRIM(Raw_Data!F166)))</f>
        <v>Existing</v>
      </c>
      <c r="G166">
        <f>Raw_Data!G166</f>
        <v>3</v>
      </c>
      <c r="H166">
        <f>IF(Raw_Data!H166="","",Raw_Data!H166)</f>
        <v>166746.17000000001</v>
      </c>
      <c r="I166">
        <f>IF(Raw_Data!I166="","",Raw_Data!I166)</f>
        <v>-7268.35</v>
      </c>
      <c r="J166" t="str">
        <f>IF(TRIM(Raw_Data!J166)="","Review",PROPER(TRIM(Raw_Data!J166)))</f>
        <v>Card</v>
      </c>
      <c r="K166" t="str">
        <f t="shared" si="2"/>
        <v>OK</v>
      </c>
    </row>
    <row r="167" spans="1:11">
      <c r="A167" t="str">
        <f>Raw_Data!A167</f>
        <v>ORD-0166</v>
      </c>
      <c r="B167" t="s">
        <v>338</v>
      </c>
      <c r="C167" t="str">
        <f>PROPER(TRIM(Raw_Data!C167))</f>
        <v>South</v>
      </c>
      <c r="D167" t="str">
        <f>PROPER(TRIM(Raw_Data!D167))</f>
        <v>Home</v>
      </c>
      <c r="E167" t="str">
        <f>PROPER(TRIM(Raw_Data!E167))</f>
        <v>Cookware Set</v>
      </c>
      <c r="F167" t="str">
        <f>IF(TRIM(Raw_Data!F167)="","Review",PROPER(TRIM(Raw_Data!F167)))</f>
        <v>Existing</v>
      </c>
      <c r="G167">
        <f>Raw_Data!G167</f>
        <v>2</v>
      </c>
      <c r="H167">
        <f>IF(Raw_Data!H167="","",Raw_Data!H167)</f>
        <v>5221.72</v>
      </c>
      <c r="I167">
        <f>IF(Raw_Data!I167="","",Raw_Data!I167)</f>
        <v>1145.04</v>
      </c>
      <c r="J167" t="str">
        <f>IF(TRIM(Raw_Data!J167)="","Review",PROPER(TRIM(Raw_Data!J167)))</f>
        <v>Upi</v>
      </c>
      <c r="K167" t="str">
        <f t="shared" si="2"/>
        <v>OK</v>
      </c>
    </row>
    <row r="168" spans="1:11">
      <c r="A168" t="str">
        <f>Raw_Data!A168</f>
        <v>ORD-0167</v>
      </c>
      <c r="B168" t="s">
        <v>317</v>
      </c>
      <c r="C168" t="str">
        <f>PROPER(TRIM(Raw_Data!C168))</f>
        <v>South</v>
      </c>
      <c r="D168" t="str">
        <f>PROPER(TRIM(Raw_Data!D168))</f>
        <v>Clothing</v>
      </c>
      <c r="E168" t="str">
        <f>PROPER(TRIM(Raw_Data!E168))</f>
        <v>Jeans</v>
      </c>
      <c r="F168" t="str">
        <f>IF(TRIM(Raw_Data!F168)="","Review",PROPER(TRIM(Raw_Data!F168)))</f>
        <v>New</v>
      </c>
      <c r="G168">
        <f>Raw_Data!G168</f>
        <v>2</v>
      </c>
      <c r="H168">
        <f>IF(Raw_Data!H168="","",Raw_Data!H168)</f>
        <v>3500.54</v>
      </c>
      <c r="I168">
        <f>IF(Raw_Data!I168="","",Raw_Data!I168)</f>
        <v>489.43</v>
      </c>
      <c r="J168" t="str">
        <f>IF(TRIM(Raw_Data!J168)="","Review",PROPER(TRIM(Raw_Data!J168)))</f>
        <v>Cash</v>
      </c>
      <c r="K168" t="str">
        <f t="shared" si="2"/>
        <v>OK</v>
      </c>
    </row>
    <row r="169" spans="1:11">
      <c r="A169" t="str">
        <f>Raw_Data!A169</f>
        <v>ORD-0168</v>
      </c>
      <c r="B169" t="s">
        <v>238</v>
      </c>
      <c r="C169" t="str">
        <f>PROPER(TRIM(Raw_Data!C169))</f>
        <v>West</v>
      </c>
      <c r="D169" t="str">
        <f>PROPER(TRIM(Raw_Data!D169))</f>
        <v>Clothing</v>
      </c>
      <c r="E169" t="str">
        <f>PROPER(TRIM(Raw_Data!E169))</f>
        <v>T-Shirt</v>
      </c>
      <c r="F169" t="str">
        <f>IF(TRIM(Raw_Data!F169)="","Review",PROPER(TRIM(Raw_Data!F169)))</f>
        <v>Existing</v>
      </c>
      <c r="G169">
        <f>Raw_Data!G169</f>
        <v>3</v>
      </c>
      <c r="H169">
        <f>IF(Raw_Data!H169="","",Raw_Data!H169)</f>
        <v>2174.89</v>
      </c>
      <c r="I169">
        <f>IF(Raw_Data!I169="","",Raw_Data!I169)</f>
        <v>272.62</v>
      </c>
      <c r="J169" t="str">
        <f>IF(TRIM(Raw_Data!J169)="","Review",PROPER(TRIM(Raw_Data!J169)))</f>
        <v>Net Banking</v>
      </c>
      <c r="K169" t="str">
        <f t="shared" si="2"/>
        <v>OK</v>
      </c>
    </row>
    <row r="170" spans="1:11">
      <c r="A170" t="str">
        <f>Raw_Data!A170</f>
        <v>ORD-0169</v>
      </c>
      <c r="B170" t="s">
        <v>342</v>
      </c>
      <c r="C170" t="str">
        <f>PROPER(TRIM(Raw_Data!C170))</f>
        <v>South</v>
      </c>
      <c r="D170" t="str">
        <f>PROPER(TRIM(Raw_Data!D170))</f>
        <v>Home</v>
      </c>
      <c r="E170" t="str">
        <f>PROPER(TRIM(Raw_Data!E170))</f>
        <v>Chair</v>
      </c>
      <c r="F170" t="str">
        <f>IF(TRIM(Raw_Data!F170)="","Review",PROPER(TRIM(Raw_Data!F170)))</f>
        <v>Existing</v>
      </c>
      <c r="G170">
        <f>Raw_Data!G170</f>
        <v>4</v>
      </c>
      <c r="H170">
        <f>IF(Raw_Data!H170="","",Raw_Data!H170)</f>
        <v>19678.57</v>
      </c>
      <c r="I170">
        <f>IF(Raw_Data!I170="","",Raw_Data!I170)</f>
        <v>4212.8</v>
      </c>
      <c r="J170" t="str">
        <f>IF(TRIM(Raw_Data!J170)="","Review",PROPER(TRIM(Raw_Data!J170)))</f>
        <v>Upi</v>
      </c>
      <c r="K170" t="str">
        <f t="shared" si="2"/>
        <v>OK</v>
      </c>
    </row>
    <row r="171" spans="1:11">
      <c r="A171" t="str">
        <f>Raw_Data!A171</f>
        <v>ORD-0170</v>
      </c>
      <c r="B171" t="s">
        <v>344</v>
      </c>
      <c r="C171" t="str">
        <f>PROPER(TRIM(Raw_Data!C171))</f>
        <v>North</v>
      </c>
      <c r="D171" t="str">
        <f>PROPER(TRIM(Raw_Data!D171))</f>
        <v>Home</v>
      </c>
      <c r="E171" t="str">
        <f>PROPER(TRIM(Raw_Data!E171))</f>
        <v>Cookware Set</v>
      </c>
      <c r="F171" t="str">
        <f>IF(TRIM(Raw_Data!F171)="","Review",PROPER(TRIM(Raw_Data!F171)))</f>
        <v>Existing</v>
      </c>
      <c r="G171">
        <f>Raw_Data!G171</f>
        <v>3</v>
      </c>
      <c r="H171">
        <f>IF(Raw_Data!H171="","",Raw_Data!H171)</f>
        <v>8491.6299999999992</v>
      </c>
      <c r="I171">
        <f>IF(Raw_Data!I171="","",Raw_Data!I171)</f>
        <v>-365.71</v>
      </c>
      <c r="J171" t="str">
        <f>IF(TRIM(Raw_Data!J171)="","Review",PROPER(TRIM(Raw_Data!J171)))</f>
        <v>Upi</v>
      </c>
      <c r="K171" t="str">
        <f t="shared" si="2"/>
        <v>OK</v>
      </c>
    </row>
    <row r="172" spans="1:11">
      <c r="A172" t="str">
        <f>Raw_Data!A172</f>
        <v>ORD-0171</v>
      </c>
      <c r="B172" t="s">
        <v>346</v>
      </c>
      <c r="C172" t="str">
        <f>PROPER(TRIM(Raw_Data!C172))</f>
        <v>North</v>
      </c>
      <c r="D172" t="str">
        <f>PROPER(TRIM(Raw_Data!D172))</f>
        <v>Electronics</v>
      </c>
      <c r="E172" t="str">
        <f>PROPER(TRIM(Raw_Data!E172))</f>
        <v>Smartphone</v>
      </c>
      <c r="F172" t="str">
        <f>IF(TRIM(Raw_Data!F172)="","Review",PROPER(TRIM(Raw_Data!F172)))</f>
        <v>New</v>
      </c>
      <c r="G172">
        <f>Raw_Data!G172</f>
        <v>4</v>
      </c>
      <c r="H172">
        <f>IF(Raw_Data!H172="","",Raw_Data!H172)</f>
        <v>121078.86</v>
      </c>
      <c r="I172">
        <f>IF(Raw_Data!I172="","",Raw_Data!I172)</f>
        <v>-3263.62</v>
      </c>
      <c r="J172" t="str">
        <f>IF(TRIM(Raw_Data!J172)="","Review",PROPER(TRIM(Raw_Data!J172)))</f>
        <v>Net Banking</v>
      </c>
      <c r="K172" t="str">
        <f t="shared" si="2"/>
        <v>OK</v>
      </c>
    </row>
    <row r="173" spans="1:11">
      <c r="A173" t="str">
        <f>Raw_Data!A173</f>
        <v>ORD-0172</v>
      </c>
      <c r="B173" t="s">
        <v>89</v>
      </c>
      <c r="C173" t="str">
        <f>PROPER(TRIM(Raw_Data!C173))</f>
        <v>West</v>
      </c>
      <c r="D173" t="str">
        <f>PROPER(TRIM(Raw_Data!D173))</f>
        <v>Clothing</v>
      </c>
      <c r="E173" t="str">
        <f>PROPER(TRIM(Raw_Data!E173))</f>
        <v>Jacket</v>
      </c>
      <c r="F173" t="str">
        <f>IF(TRIM(Raw_Data!F173)="","Review",PROPER(TRIM(Raw_Data!F173)))</f>
        <v>New</v>
      </c>
      <c r="G173">
        <f>Raw_Data!G173</f>
        <v>4</v>
      </c>
      <c r="H173">
        <f>IF(Raw_Data!H173="","",Raw_Data!H173)</f>
        <v>8013.73</v>
      </c>
      <c r="I173">
        <f>IF(Raw_Data!I173="","",Raw_Data!I173)</f>
        <v>807.16</v>
      </c>
      <c r="J173" t="str">
        <f>IF(TRIM(Raw_Data!J173)="","Review",PROPER(TRIM(Raw_Data!J173)))</f>
        <v>Cash</v>
      </c>
      <c r="K173" t="str">
        <f t="shared" si="2"/>
        <v>OK</v>
      </c>
    </row>
    <row r="174" spans="1:11">
      <c r="A174" t="str">
        <f>Raw_Data!A174</f>
        <v>ORD-0173</v>
      </c>
      <c r="B174" t="s">
        <v>350</v>
      </c>
      <c r="C174" t="str">
        <f>PROPER(TRIM(Raw_Data!C174))</f>
        <v>East</v>
      </c>
      <c r="D174" t="str">
        <f>PROPER(TRIM(Raw_Data!D174))</f>
        <v>Electronics</v>
      </c>
      <c r="E174" t="str">
        <f>PROPER(TRIM(Raw_Data!E174))</f>
        <v>Laptop</v>
      </c>
      <c r="F174" t="str">
        <f>IF(TRIM(Raw_Data!F174)="","Review",PROPER(TRIM(Raw_Data!F174)))</f>
        <v>New</v>
      </c>
      <c r="G174">
        <f>Raw_Data!G174</f>
        <v>3</v>
      </c>
      <c r="H174">
        <f>IF(Raw_Data!H174="","",Raw_Data!H174)</f>
        <v>169441.77</v>
      </c>
      <c r="I174">
        <f>IF(Raw_Data!I174="","",Raw_Data!I174)</f>
        <v>37633.599999999999</v>
      </c>
      <c r="J174" t="str">
        <f>IF(TRIM(Raw_Data!J174)="","Review",PROPER(TRIM(Raw_Data!J174)))</f>
        <v>Card</v>
      </c>
      <c r="K174" t="str">
        <f t="shared" si="2"/>
        <v>OK</v>
      </c>
    </row>
    <row r="175" spans="1:11">
      <c r="A175" t="str">
        <f>Raw_Data!A175</f>
        <v>ORD-0174</v>
      </c>
      <c r="B175" t="s">
        <v>352</v>
      </c>
      <c r="C175" t="str">
        <f>PROPER(TRIM(Raw_Data!C175))</f>
        <v>West</v>
      </c>
      <c r="D175" t="str">
        <f>PROPER(TRIM(Raw_Data!D175))</f>
        <v>Electronics</v>
      </c>
      <c r="E175" t="str">
        <f>PROPER(TRIM(Raw_Data!E175))</f>
        <v>Smartphone</v>
      </c>
      <c r="F175" t="str">
        <f>IF(TRIM(Raw_Data!F175)="","Review",PROPER(TRIM(Raw_Data!F175)))</f>
        <v>Existing</v>
      </c>
      <c r="G175">
        <f>Raw_Data!G175</f>
        <v>4</v>
      </c>
      <c r="H175">
        <f>IF(Raw_Data!H175="","",Raw_Data!H175)</f>
        <v>116392.01</v>
      </c>
      <c r="I175">
        <f>IF(Raw_Data!I175="","",Raw_Data!I175)</f>
        <v>-3495.79</v>
      </c>
      <c r="J175" t="str">
        <f>IF(TRIM(Raw_Data!J175)="","Review",PROPER(TRIM(Raw_Data!J175)))</f>
        <v>Upi</v>
      </c>
      <c r="K175" t="str">
        <f t="shared" si="2"/>
        <v>OK</v>
      </c>
    </row>
    <row r="176" spans="1:11">
      <c r="A176" t="str">
        <f>Raw_Data!A176</f>
        <v>ORD-0175</v>
      </c>
      <c r="B176" t="s">
        <v>354</v>
      </c>
      <c r="C176" t="str">
        <f>PROPER(TRIM(Raw_Data!C176))</f>
        <v>West</v>
      </c>
      <c r="D176" t="str">
        <f>PROPER(TRIM(Raw_Data!D176))</f>
        <v>Electronics</v>
      </c>
      <c r="E176" t="str">
        <f>PROPER(TRIM(Raw_Data!E176))</f>
        <v>Laptop</v>
      </c>
      <c r="F176" t="str">
        <f>IF(TRIM(Raw_Data!F176)="","Review",PROPER(TRIM(Raw_Data!F176)))</f>
        <v>New</v>
      </c>
      <c r="G176">
        <f>Raw_Data!G176</f>
        <v>3</v>
      </c>
      <c r="H176">
        <f>IF(Raw_Data!H176="","",Raw_Data!H176)</f>
        <v>147128.43</v>
      </c>
      <c r="I176">
        <f>IF(Raw_Data!I176="","",Raw_Data!I176)</f>
        <v>-3850.78</v>
      </c>
      <c r="J176" t="str">
        <f>IF(TRIM(Raw_Data!J176)="","Review",PROPER(TRIM(Raw_Data!J176)))</f>
        <v>Cash</v>
      </c>
      <c r="K176" t="str">
        <f t="shared" si="2"/>
        <v>OK</v>
      </c>
    </row>
    <row r="177" spans="1:11">
      <c r="A177" t="str">
        <f>Raw_Data!A177</f>
        <v>ORD-0176</v>
      </c>
      <c r="B177" t="s">
        <v>297</v>
      </c>
      <c r="C177" t="str">
        <f>PROPER(TRIM(Raw_Data!C177))</f>
        <v>West</v>
      </c>
      <c r="D177" t="str">
        <f>PROPER(TRIM(Raw_Data!D177))</f>
        <v>Electronics</v>
      </c>
      <c r="E177" t="str">
        <f>PROPER(TRIM(Raw_Data!E177))</f>
        <v>Smartphone</v>
      </c>
      <c r="F177" t="str">
        <f>IF(TRIM(Raw_Data!F177)="","Review",PROPER(TRIM(Raw_Data!F177)))</f>
        <v>New</v>
      </c>
      <c r="G177">
        <f>Raw_Data!G177</f>
        <v>1</v>
      </c>
      <c r="H177">
        <f>IF(Raw_Data!H177="","",Raw_Data!H177)</f>
        <v>25467.4</v>
      </c>
      <c r="I177">
        <f>IF(Raw_Data!I177="","",Raw_Data!I177)</f>
        <v>1811.68</v>
      </c>
      <c r="J177" t="str">
        <f>IF(TRIM(Raw_Data!J177)="","Review",PROPER(TRIM(Raw_Data!J177)))</f>
        <v>Upi</v>
      </c>
      <c r="K177" t="str">
        <f t="shared" si="2"/>
        <v>OK</v>
      </c>
    </row>
    <row r="178" spans="1:11">
      <c r="A178" t="str">
        <f>Raw_Data!A178</f>
        <v>ORD-0177</v>
      </c>
      <c r="B178" t="s">
        <v>357</v>
      </c>
      <c r="C178" t="str">
        <f>PROPER(TRIM(Raw_Data!C178))</f>
        <v>South</v>
      </c>
      <c r="D178" t="str">
        <f>PROPER(TRIM(Raw_Data!D178))</f>
        <v>Clothing</v>
      </c>
      <c r="E178" t="str">
        <f>PROPER(TRIM(Raw_Data!E178))</f>
        <v>Dress</v>
      </c>
      <c r="F178" t="str">
        <f>IF(TRIM(Raw_Data!F178)="","Review",PROPER(TRIM(Raw_Data!F178)))</f>
        <v>Existing</v>
      </c>
      <c r="G178">
        <f>Raw_Data!G178</f>
        <v>5</v>
      </c>
      <c r="H178">
        <f>IF(Raw_Data!H178="","",Raw_Data!H178)</f>
        <v>8581.23</v>
      </c>
      <c r="I178">
        <f>IF(Raw_Data!I178="","",Raw_Data!I178)</f>
        <v>905.62</v>
      </c>
      <c r="J178" t="str">
        <f>IF(TRIM(Raw_Data!J178)="","Review",PROPER(TRIM(Raw_Data!J178)))</f>
        <v>Net Banking</v>
      </c>
      <c r="K178" t="str">
        <f t="shared" si="2"/>
        <v>OK</v>
      </c>
    </row>
    <row r="179" spans="1:11">
      <c r="A179" t="str">
        <f>Raw_Data!A179</f>
        <v>ORD-0178</v>
      </c>
      <c r="B179" t="s">
        <v>359</v>
      </c>
      <c r="C179" t="str">
        <f>PROPER(TRIM(Raw_Data!C179))</f>
        <v>North</v>
      </c>
      <c r="D179" t="str">
        <f>PROPER(TRIM(Raw_Data!D179))</f>
        <v>Electronics</v>
      </c>
      <c r="E179" t="str">
        <f>PROPER(TRIM(Raw_Data!E179))</f>
        <v>Monitor</v>
      </c>
      <c r="F179" t="str">
        <f>IF(TRIM(Raw_Data!F179)="","Review",PROPER(TRIM(Raw_Data!F179)))</f>
        <v>Existing</v>
      </c>
      <c r="G179">
        <f>Raw_Data!G179</f>
        <v>3</v>
      </c>
      <c r="H179">
        <f>IF(Raw_Data!H179="","",Raw_Data!H179)</f>
        <v>34132.06</v>
      </c>
      <c r="I179">
        <f>IF(Raw_Data!I179="","",Raw_Data!I179)</f>
        <v>2388.0300000000002</v>
      </c>
      <c r="J179" t="str">
        <f>IF(TRIM(Raw_Data!J179)="","Review",PROPER(TRIM(Raw_Data!J179)))</f>
        <v>Upi</v>
      </c>
      <c r="K179" t="str">
        <f t="shared" si="2"/>
        <v>OK</v>
      </c>
    </row>
    <row r="180" spans="1:11">
      <c r="A180" t="str">
        <f>Raw_Data!A180</f>
        <v>ORD-0179</v>
      </c>
      <c r="B180" t="s">
        <v>361</v>
      </c>
      <c r="C180" t="str">
        <f>PROPER(TRIM(Raw_Data!C180))</f>
        <v>West</v>
      </c>
      <c r="D180" t="str">
        <f>PROPER(TRIM(Raw_Data!D180))</f>
        <v>Home</v>
      </c>
      <c r="E180" t="str">
        <f>PROPER(TRIM(Raw_Data!E180))</f>
        <v>Chair</v>
      </c>
      <c r="F180" t="str">
        <f>IF(TRIM(Raw_Data!F180)="","Review",PROPER(TRIM(Raw_Data!F180)))</f>
        <v>Existing</v>
      </c>
      <c r="G180">
        <f>Raw_Data!G180</f>
        <v>5</v>
      </c>
      <c r="H180">
        <f>IF(Raw_Data!H180="","",Raw_Data!H180)</f>
        <v>23788.86</v>
      </c>
      <c r="I180">
        <f>IF(Raw_Data!I180="","",Raw_Data!I180)</f>
        <v>2444.17</v>
      </c>
      <c r="J180" t="str">
        <f>IF(TRIM(Raw_Data!J180)="","Review",PROPER(TRIM(Raw_Data!J180)))</f>
        <v>Upi</v>
      </c>
      <c r="K180" t="str">
        <f t="shared" si="2"/>
        <v>OK</v>
      </c>
    </row>
    <row r="181" spans="1:11">
      <c r="A181" t="str">
        <f>Raw_Data!A181</f>
        <v>ORD-0180</v>
      </c>
      <c r="B181" t="s">
        <v>363</v>
      </c>
      <c r="C181" t="str">
        <f>PROPER(TRIM(Raw_Data!C181))</f>
        <v>East</v>
      </c>
      <c r="D181" t="str">
        <f>PROPER(TRIM(Raw_Data!D181))</f>
        <v>Home</v>
      </c>
      <c r="E181" t="str">
        <f>PROPER(TRIM(Raw_Data!E181))</f>
        <v>Cookware Set</v>
      </c>
      <c r="F181" t="str">
        <f>IF(TRIM(Raw_Data!F181)="","Review",PROPER(TRIM(Raw_Data!F181)))</f>
        <v>New</v>
      </c>
      <c r="G181">
        <f>Raw_Data!G181</f>
        <v>3</v>
      </c>
      <c r="H181">
        <f>IF(Raw_Data!H181="","",Raw_Data!H181)</f>
        <v>7986.13</v>
      </c>
      <c r="I181">
        <f>IF(Raw_Data!I181="","",Raw_Data!I181)</f>
        <v>-592.19000000000005</v>
      </c>
      <c r="J181" t="str">
        <f>IF(TRIM(Raw_Data!J181)="","Review",PROPER(TRIM(Raw_Data!J181)))</f>
        <v>Upi</v>
      </c>
      <c r="K181" t="str">
        <f t="shared" si="2"/>
        <v>OK</v>
      </c>
    </row>
    <row r="182" spans="1:11">
      <c r="A182" t="str">
        <f>Raw_Data!A182</f>
        <v>ORD-0181</v>
      </c>
      <c r="B182" t="s">
        <v>365</v>
      </c>
      <c r="C182" t="str">
        <f>PROPER(TRIM(Raw_Data!C182))</f>
        <v>South</v>
      </c>
      <c r="D182" t="str">
        <f>PROPER(TRIM(Raw_Data!D182))</f>
        <v>Home</v>
      </c>
      <c r="E182" t="str">
        <f>PROPER(TRIM(Raw_Data!E182))</f>
        <v>Bedsheet</v>
      </c>
      <c r="F182" t="str">
        <f>IF(TRIM(Raw_Data!F182)="","Review",PROPER(TRIM(Raw_Data!F182)))</f>
        <v>Existing</v>
      </c>
      <c r="G182">
        <f>Raw_Data!G182</f>
        <v>2</v>
      </c>
      <c r="H182">
        <f>IF(Raw_Data!H182="","",Raw_Data!H182)</f>
        <v>2544.83</v>
      </c>
      <c r="I182">
        <f>IF(Raw_Data!I182="","",Raw_Data!I182)</f>
        <v>296.64</v>
      </c>
      <c r="J182" t="str">
        <f>IF(TRIM(Raw_Data!J182)="","Review",PROPER(TRIM(Raw_Data!J182)))</f>
        <v>Net Banking</v>
      </c>
      <c r="K182" t="str">
        <f t="shared" si="2"/>
        <v>OK</v>
      </c>
    </row>
    <row r="183" spans="1:11">
      <c r="A183" t="str">
        <f>Raw_Data!A183</f>
        <v>ORD-0182</v>
      </c>
      <c r="B183" t="s">
        <v>367</v>
      </c>
      <c r="C183" t="str">
        <f>PROPER(TRIM(Raw_Data!C183))</f>
        <v>North</v>
      </c>
      <c r="D183" t="str">
        <f>PROPER(TRIM(Raw_Data!D183))</f>
        <v>Home</v>
      </c>
      <c r="E183" t="str">
        <f>PROPER(TRIM(Raw_Data!E183))</f>
        <v>Desk Lamp</v>
      </c>
      <c r="F183" t="str">
        <f>IF(TRIM(Raw_Data!F183)="","Review",PROPER(TRIM(Raw_Data!F183)))</f>
        <v>Existing</v>
      </c>
      <c r="G183">
        <f>Raw_Data!G183</f>
        <v>2</v>
      </c>
      <c r="H183">
        <f>IF(Raw_Data!H183="","",Raw_Data!H183)</f>
        <v>1642.72</v>
      </c>
      <c r="I183">
        <f>IF(Raw_Data!I183="","",Raw_Data!I183)</f>
        <v>327.61</v>
      </c>
      <c r="J183" t="str">
        <f>IF(TRIM(Raw_Data!J183)="","Review",PROPER(TRIM(Raw_Data!J183)))</f>
        <v>Card</v>
      </c>
      <c r="K183" t="str">
        <f t="shared" si="2"/>
        <v>OK</v>
      </c>
    </row>
    <row r="184" spans="1:11">
      <c r="A184" t="str">
        <f>Raw_Data!A184</f>
        <v>ORD-0183</v>
      </c>
      <c r="B184" t="s">
        <v>369</v>
      </c>
      <c r="C184" t="str">
        <f>PROPER(TRIM(Raw_Data!C184))</f>
        <v>West</v>
      </c>
      <c r="D184" t="str">
        <f>PROPER(TRIM(Raw_Data!D184))</f>
        <v>Electronics</v>
      </c>
      <c r="E184" t="str">
        <f>PROPER(TRIM(Raw_Data!E184))</f>
        <v>Headphones</v>
      </c>
      <c r="F184" t="str">
        <f>IF(TRIM(Raw_Data!F184)="","Review",PROPER(TRIM(Raw_Data!F184)))</f>
        <v>Existing</v>
      </c>
      <c r="G184">
        <f>Raw_Data!G184</f>
        <v>1</v>
      </c>
      <c r="H184">
        <f>IF(Raw_Data!H184="","",Raw_Data!H184)</f>
        <v>2407.8000000000002</v>
      </c>
      <c r="I184">
        <f>IF(Raw_Data!I184="","",Raw_Data!I184)</f>
        <v>76.150000000000006</v>
      </c>
      <c r="J184" t="str">
        <f>IF(TRIM(Raw_Data!J184)="","Review",PROPER(TRIM(Raw_Data!J184)))</f>
        <v>Upi</v>
      </c>
      <c r="K184" t="str">
        <f t="shared" si="2"/>
        <v>OK</v>
      </c>
    </row>
    <row r="185" spans="1:11">
      <c r="A185" t="str">
        <f>Raw_Data!A185</f>
        <v>ORD-0184</v>
      </c>
      <c r="B185" t="s">
        <v>371</v>
      </c>
      <c r="C185" t="str">
        <f>PROPER(TRIM(Raw_Data!C185))</f>
        <v>East</v>
      </c>
      <c r="D185" t="str">
        <f>PROPER(TRIM(Raw_Data!D185))</f>
        <v>Home</v>
      </c>
      <c r="E185" t="str">
        <f>PROPER(TRIM(Raw_Data!E185))</f>
        <v>Desk Lamp</v>
      </c>
      <c r="F185" t="str">
        <f>IF(TRIM(Raw_Data!F185)="","Review",PROPER(TRIM(Raw_Data!F185)))</f>
        <v>Existing</v>
      </c>
      <c r="G185">
        <f>Raw_Data!G185</f>
        <v>3</v>
      </c>
      <c r="H185">
        <f>IF(Raw_Data!H185="","",Raw_Data!H185)</f>
        <v>2622.77</v>
      </c>
      <c r="I185">
        <f>IF(Raw_Data!I185="","",Raw_Data!I185)</f>
        <v>527.45000000000005</v>
      </c>
      <c r="J185" t="str">
        <f>IF(TRIM(Raw_Data!J185)="","Review",PROPER(TRIM(Raw_Data!J185)))</f>
        <v>Upi</v>
      </c>
      <c r="K185" t="str">
        <f t="shared" si="2"/>
        <v>OK</v>
      </c>
    </row>
    <row r="186" spans="1:11">
      <c r="A186" t="str">
        <f>Raw_Data!A186</f>
        <v>ORD-0185</v>
      </c>
      <c r="B186" t="s">
        <v>373</v>
      </c>
      <c r="C186" t="str">
        <f>PROPER(TRIM(Raw_Data!C186))</f>
        <v>East</v>
      </c>
      <c r="D186" t="str">
        <f>PROPER(TRIM(Raw_Data!D186))</f>
        <v>Clothing</v>
      </c>
      <c r="E186" t="str">
        <f>PROPER(TRIM(Raw_Data!E186))</f>
        <v>Sneakers</v>
      </c>
      <c r="F186" t="str">
        <f>IF(TRIM(Raw_Data!F186)="","Review",PROPER(TRIM(Raw_Data!F186)))</f>
        <v>New</v>
      </c>
      <c r="G186">
        <f>Raw_Data!G186</f>
        <v>4</v>
      </c>
      <c r="H186">
        <f>IF(Raw_Data!H186="","",Raw_Data!H186)</f>
        <v>14681.26</v>
      </c>
      <c r="I186">
        <f>IF(Raw_Data!I186="","",Raw_Data!I186)</f>
        <v>3553.89</v>
      </c>
      <c r="J186" t="str">
        <f>IF(TRIM(Raw_Data!J186)="","Review",PROPER(TRIM(Raw_Data!J186)))</f>
        <v>Net Banking</v>
      </c>
      <c r="K186" t="str">
        <f t="shared" si="2"/>
        <v>OK</v>
      </c>
    </row>
    <row r="187" spans="1:11">
      <c r="A187" t="str">
        <f>Raw_Data!A187</f>
        <v>ORD-0186</v>
      </c>
      <c r="B187" t="s">
        <v>375</v>
      </c>
      <c r="C187" t="str">
        <f>PROPER(TRIM(Raw_Data!C187))</f>
        <v>West</v>
      </c>
      <c r="D187" t="str">
        <f>PROPER(TRIM(Raw_Data!D187))</f>
        <v>Home</v>
      </c>
      <c r="E187" t="str">
        <f>PROPER(TRIM(Raw_Data!E187))</f>
        <v>Cookware Set</v>
      </c>
      <c r="F187" t="str">
        <f>IF(TRIM(Raw_Data!F187)="","Review",PROPER(TRIM(Raw_Data!F187)))</f>
        <v>New</v>
      </c>
      <c r="G187">
        <f>Raw_Data!G187</f>
        <v>3</v>
      </c>
      <c r="H187">
        <f>IF(Raw_Data!H187="","",Raw_Data!H187)</f>
        <v>9112.84</v>
      </c>
      <c r="I187">
        <f>IF(Raw_Data!I187="","",Raw_Data!I187)</f>
        <v>974.52</v>
      </c>
      <c r="J187" t="str">
        <f>IF(TRIM(Raw_Data!J187)="","Review",PROPER(TRIM(Raw_Data!J187)))</f>
        <v>Net Banking</v>
      </c>
      <c r="K187" t="str">
        <f t="shared" si="2"/>
        <v>OK</v>
      </c>
    </row>
    <row r="188" spans="1:11">
      <c r="A188" t="str">
        <f>Raw_Data!A188</f>
        <v>ORD-0187</v>
      </c>
      <c r="B188" t="s">
        <v>377</v>
      </c>
      <c r="C188" t="str">
        <f>PROPER(TRIM(Raw_Data!C188))</f>
        <v>East</v>
      </c>
      <c r="D188" t="str">
        <f>PROPER(TRIM(Raw_Data!D188))</f>
        <v>Home</v>
      </c>
      <c r="E188" t="str">
        <f>PROPER(TRIM(Raw_Data!E188))</f>
        <v>Desk Lamp</v>
      </c>
      <c r="F188" t="str">
        <f>IF(TRIM(Raw_Data!F188)="","Review",PROPER(TRIM(Raw_Data!F188)))</f>
        <v>Existing</v>
      </c>
      <c r="G188">
        <f>Raw_Data!G188</f>
        <v>5</v>
      </c>
      <c r="H188">
        <f>IF(Raw_Data!H188="","",Raw_Data!H188)</f>
        <v>4314.3900000000003</v>
      </c>
      <c r="I188">
        <f>IF(Raw_Data!I188="","",Raw_Data!I188)</f>
        <v>-185.8</v>
      </c>
      <c r="J188" t="str">
        <f>IF(TRIM(Raw_Data!J188)="","Review",PROPER(TRIM(Raw_Data!J188)))</f>
        <v>Net Banking</v>
      </c>
      <c r="K188" t="str">
        <f t="shared" si="2"/>
        <v>OK</v>
      </c>
    </row>
    <row r="189" spans="1:11">
      <c r="A189" t="str">
        <f>Raw_Data!A189</f>
        <v>ORD-0188</v>
      </c>
      <c r="B189" t="s">
        <v>172</v>
      </c>
      <c r="C189" t="str">
        <f>PROPER(TRIM(Raw_Data!C189))</f>
        <v>East</v>
      </c>
      <c r="D189" t="str">
        <f>PROPER(TRIM(Raw_Data!D189))</f>
        <v>Home</v>
      </c>
      <c r="E189" t="str">
        <f>PROPER(TRIM(Raw_Data!E189))</f>
        <v>Cookware Set</v>
      </c>
      <c r="F189" t="str">
        <f>IF(TRIM(Raw_Data!F189)="","Review",PROPER(TRIM(Raw_Data!F189)))</f>
        <v>Existing</v>
      </c>
      <c r="G189">
        <f>Raw_Data!G189</f>
        <v>2</v>
      </c>
      <c r="H189">
        <f>IF(Raw_Data!H189="","",Raw_Data!H189)</f>
        <v>5812.54</v>
      </c>
      <c r="I189">
        <f>IF(Raw_Data!I189="","",Raw_Data!I189)</f>
        <v>270.61</v>
      </c>
      <c r="J189" t="str">
        <f>IF(TRIM(Raw_Data!J189)="","Review",PROPER(TRIM(Raw_Data!J189)))</f>
        <v>Cash</v>
      </c>
      <c r="K189" t="str">
        <f t="shared" si="2"/>
        <v>OK</v>
      </c>
    </row>
    <row r="190" spans="1:11">
      <c r="A190" t="str">
        <f>Raw_Data!A190</f>
        <v>ORD-0189</v>
      </c>
      <c r="B190" t="s">
        <v>380</v>
      </c>
      <c r="C190" t="str">
        <f>PROPER(TRIM(Raw_Data!C190))</f>
        <v>South</v>
      </c>
      <c r="D190" t="str">
        <f>PROPER(TRIM(Raw_Data!D190))</f>
        <v>Home</v>
      </c>
      <c r="E190" t="str">
        <f>PROPER(TRIM(Raw_Data!E190))</f>
        <v>Blender</v>
      </c>
      <c r="F190" t="str">
        <f>IF(TRIM(Raw_Data!F190)="","Review",PROPER(TRIM(Raw_Data!F190)))</f>
        <v>New</v>
      </c>
      <c r="G190">
        <f>Raw_Data!G190</f>
        <v>1</v>
      </c>
      <c r="H190">
        <f>IF(Raw_Data!H190="","",Raw_Data!H190)</f>
        <v>3309.56</v>
      </c>
      <c r="I190">
        <f>IF(Raw_Data!I190="","",Raw_Data!I190)</f>
        <v>219.21</v>
      </c>
      <c r="J190" t="str">
        <f>IF(TRIM(Raw_Data!J190)="","Review",PROPER(TRIM(Raw_Data!J190)))</f>
        <v>Card</v>
      </c>
      <c r="K190" t="str">
        <f t="shared" si="2"/>
        <v>OK</v>
      </c>
    </row>
    <row r="191" spans="1:11">
      <c r="A191" t="str">
        <f>Raw_Data!A191</f>
        <v>ORD-0190</v>
      </c>
      <c r="B191" t="s">
        <v>93</v>
      </c>
      <c r="C191" t="str">
        <f>PROPER(TRIM(Raw_Data!C191))</f>
        <v>East</v>
      </c>
      <c r="D191" t="str">
        <f>PROPER(TRIM(Raw_Data!D191))</f>
        <v>Home</v>
      </c>
      <c r="E191" t="str">
        <f>PROPER(TRIM(Raw_Data!E191))</f>
        <v>Cookware Set</v>
      </c>
      <c r="F191" t="str">
        <f>IF(TRIM(Raw_Data!F191)="","Review",PROPER(TRIM(Raw_Data!F191)))</f>
        <v>Existing</v>
      </c>
      <c r="G191">
        <f>Raw_Data!G191</f>
        <v>1</v>
      </c>
      <c r="H191">
        <f>IF(Raw_Data!H191="","",Raw_Data!H191)</f>
        <v>2590.69</v>
      </c>
      <c r="I191">
        <f>IF(Raw_Data!I191="","",Raw_Data!I191)</f>
        <v>12.85</v>
      </c>
      <c r="J191" t="str">
        <f>IF(TRIM(Raw_Data!J191)="","Review",PROPER(TRIM(Raw_Data!J191)))</f>
        <v>Net Banking</v>
      </c>
      <c r="K191" t="str">
        <f t="shared" si="2"/>
        <v>OK</v>
      </c>
    </row>
    <row r="192" spans="1:11">
      <c r="A192" t="str">
        <f>Raw_Data!A192</f>
        <v>ORD-0191</v>
      </c>
      <c r="B192" t="s">
        <v>383</v>
      </c>
      <c r="C192" t="str">
        <f>PROPER(TRIM(Raw_Data!C192))</f>
        <v>East</v>
      </c>
      <c r="D192" t="str">
        <f>PROPER(TRIM(Raw_Data!D192))</f>
        <v>Home</v>
      </c>
      <c r="E192" t="str">
        <f>PROPER(TRIM(Raw_Data!E192))</f>
        <v>Blender</v>
      </c>
      <c r="F192" t="str">
        <f>IF(TRIM(Raw_Data!F192)="","Review",PROPER(TRIM(Raw_Data!F192)))</f>
        <v>Existing</v>
      </c>
      <c r="G192">
        <f>Raw_Data!G192</f>
        <v>5</v>
      </c>
      <c r="H192">
        <f>IF(Raw_Data!H192="","",Raw_Data!H192)</f>
        <v>14891</v>
      </c>
      <c r="I192">
        <f>IF(Raw_Data!I192="","",Raw_Data!I192)</f>
        <v>1220.6500000000001</v>
      </c>
      <c r="J192" t="str">
        <f>IF(TRIM(Raw_Data!J192)="","Review",PROPER(TRIM(Raw_Data!J192)))</f>
        <v>Upi</v>
      </c>
      <c r="K192" t="str">
        <f t="shared" si="2"/>
        <v>OK</v>
      </c>
    </row>
    <row r="193" spans="1:11">
      <c r="A193" t="str">
        <f>Raw_Data!A193</f>
        <v>ORD-0192</v>
      </c>
      <c r="B193" t="s">
        <v>385</v>
      </c>
      <c r="C193" t="str">
        <f>PROPER(TRIM(Raw_Data!C193))</f>
        <v>South</v>
      </c>
      <c r="D193" t="str">
        <f>PROPER(TRIM(Raw_Data!D193))</f>
        <v>Home</v>
      </c>
      <c r="E193" t="str">
        <f>PROPER(TRIM(Raw_Data!E193))</f>
        <v>Desk Lamp</v>
      </c>
      <c r="F193" t="str">
        <f>IF(TRIM(Raw_Data!F193)="","Review",PROPER(TRIM(Raw_Data!F193)))</f>
        <v>New</v>
      </c>
      <c r="G193">
        <f>Raw_Data!G193</f>
        <v>5</v>
      </c>
      <c r="H193">
        <f>IF(Raw_Data!H193="","",Raw_Data!H193)</f>
        <v>4380.25</v>
      </c>
      <c r="I193">
        <f>IF(Raw_Data!I193="","",Raw_Data!I193)</f>
        <v>145.33000000000001</v>
      </c>
      <c r="J193" t="str">
        <f>IF(TRIM(Raw_Data!J193)="","Review",PROPER(TRIM(Raw_Data!J193)))</f>
        <v>Upi</v>
      </c>
      <c r="K193" t="str">
        <f t="shared" si="2"/>
        <v>OK</v>
      </c>
    </row>
    <row r="194" spans="1:11">
      <c r="A194" t="str">
        <f>Raw_Data!A194</f>
        <v>ORD-0193</v>
      </c>
      <c r="B194" t="s">
        <v>387</v>
      </c>
      <c r="C194" t="str">
        <f>PROPER(TRIM(Raw_Data!C194))</f>
        <v>East</v>
      </c>
      <c r="D194" t="str">
        <f>PROPER(TRIM(Raw_Data!D194))</f>
        <v>Home</v>
      </c>
      <c r="E194" t="str">
        <f>PROPER(TRIM(Raw_Data!E194))</f>
        <v>Desk Lamp</v>
      </c>
      <c r="F194" t="str">
        <f>IF(TRIM(Raw_Data!F194)="","Review",PROPER(TRIM(Raw_Data!F194)))</f>
        <v>Existing</v>
      </c>
      <c r="G194">
        <f>Raw_Data!G194</f>
        <v>4</v>
      </c>
      <c r="H194">
        <f>IF(Raw_Data!H194="","",Raw_Data!H194)</f>
        <v>3612.78</v>
      </c>
      <c r="I194">
        <f>IF(Raw_Data!I194="","",Raw_Data!I194)</f>
        <v>899.13</v>
      </c>
      <c r="J194" t="str">
        <f>IF(TRIM(Raw_Data!J194)="","Review",PROPER(TRIM(Raw_Data!J194)))</f>
        <v>Net Banking</v>
      </c>
      <c r="K194" t="str">
        <f t="shared" si="2"/>
        <v>OK</v>
      </c>
    </row>
    <row r="195" spans="1:11">
      <c r="A195" t="str">
        <f>Raw_Data!A195</f>
        <v>ORD-0194</v>
      </c>
      <c r="B195" t="s">
        <v>164</v>
      </c>
      <c r="C195" t="str">
        <f>PROPER(TRIM(Raw_Data!C195))</f>
        <v>North</v>
      </c>
      <c r="D195" t="str">
        <f>PROPER(TRIM(Raw_Data!D195))</f>
        <v>Electronics</v>
      </c>
      <c r="E195" t="str">
        <f>PROPER(TRIM(Raw_Data!E195))</f>
        <v>Monitor</v>
      </c>
      <c r="F195" t="str">
        <f>IF(TRIM(Raw_Data!F195)="","Review",PROPER(TRIM(Raw_Data!F195)))</f>
        <v>New</v>
      </c>
      <c r="G195">
        <f>Raw_Data!G195</f>
        <v>3</v>
      </c>
      <c r="H195">
        <f>IF(Raw_Data!H195="","",Raw_Data!H195)</f>
        <v>37396.660000000003</v>
      </c>
      <c r="I195">
        <f>IF(Raw_Data!I195="","",Raw_Data!I195)</f>
        <v>10452.61</v>
      </c>
      <c r="J195" t="str">
        <f>IF(TRIM(Raw_Data!J195)="","Review",PROPER(TRIM(Raw_Data!J195)))</f>
        <v>Upi</v>
      </c>
      <c r="K195" t="str">
        <f t="shared" ref="K195:K258" si="3">IF(OR(H195="",I195="",J195="Review",F195="Review"),"Review","OK")</f>
        <v>OK</v>
      </c>
    </row>
    <row r="196" spans="1:11">
      <c r="A196" t="str">
        <f>Raw_Data!A196</f>
        <v>ORD-0195</v>
      </c>
      <c r="B196" t="s">
        <v>390</v>
      </c>
      <c r="C196" t="str">
        <f>PROPER(TRIM(Raw_Data!C196))</f>
        <v>East</v>
      </c>
      <c r="D196" t="str">
        <f>PROPER(TRIM(Raw_Data!D196))</f>
        <v>Clothing</v>
      </c>
      <c r="E196" t="str">
        <f>PROPER(TRIM(Raw_Data!E196))</f>
        <v>T-Shirt</v>
      </c>
      <c r="F196" t="str">
        <f>IF(TRIM(Raw_Data!F196)="","Review",PROPER(TRIM(Raw_Data!F196)))</f>
        <v>New</v>
      </c>
      <c r="G196">
        <f>Raw_Data!G196</f>
        <v>4</v>
      </c>
      <c r="H196">
        <f>IF(Raw_Data!H196="","",Raw_Data!H196)</f>
        <v>3078.47</v>
      </c>
      <c r="I196">
        <f>IF(Raw_Data!I196="","",Raw_Data!I196)</f>
        <v>651.97</v>
      </c>
      <c r="J196" t="str">
        <f>IF(TRIM(Raw_Data!J196)="","Review",PROPER(TRIM(Raw_Data!J196)))</f>
        <v>Cash</v>
      </c>
      <c r="K196" t="str">
        <f t="shared" si="3"/>
        <v>OK</v>
      </c>
    </row>
    <row r="197" spans="1:11">
      <c r="A197" t="str">
        <f>Raw_Data!A197</f>
        <v>ORD-0196</v>
      </c>
      <c r="B197" t="s">
        <v>142</v>
      </c>
      <c r="C197" t="str">
        <f>PROPER(TRIM(Raw_Data!C197))</f>
        <v>South</v>
      </c>
      <c r="D197" t="str">
        <f>PROPER(TRIM(Raw_Data!D197))</f>
        <v>Clothing</v>
      </c>
      <c r="E197" t="str">
        <f>PROPER(TRIM(Raw_Data!E197))</f>
        <v>T-Shirt</v>
      </c>
      <c r="F197" t="str">
        <f>IF(TRIM(Raw_Data!F197)="","Review",PROPER(TRIM(Raw_Data!F197)))</f>
        <v>New</v>
      </c>
      <c r="G197">
        <f>Raw_Data!G197</f>
        <v>2</v>
      </c>
      <c r="H197">
        <f>IF(Raw_Data!H197="","",Raw_Data!H197)</f>
        <v>1482.23</v>
      </c>
      <c r="I197">
        <f>IF(Raw_Data!I197="","",Raw_Data!I197)</f>
        <v>152.9</v>
      </c>
      <c r="J197" t="str">
        <f>IF(TRIM(Raw_Data!J197)="","Review",PROPER(TRIM(Raw_Data!J197)))</f>
        <v>Card</v>
      </c>
      <c r="K197" t="str">
        <f t="shared" si="3"/>
        <v>OK</v>
      </c>
    </row>
    <row r="198" spans="1:11">
      <c r="A198" t="str">
        <f>Raw_Data!A198</f>
        <v>ORD-0197</v>
      </c>
      <c r="B198" t="s">
        <v>110</v>
      </c>
      <c r="C198" t="str">
        <f>PROPER(TRIM(Raw_Data!C198))</f>
        <v>South</v>
      </c>
      <c r="D198" t="str">
        <f>PROPER(TRIM(Raw_Data!D198))</f>
        <v>Clothing</v>
      </c>
      <c r="E198" t="str">
        <f>PROPER(TRIM(Raw_Data!E198))</f>
        <v>Jacket</v>
      </c>
      <c r="F198" t="str">
        <f>IF(TRIM(Raw_Data!F198)="","Review",PROPER(TRIM(Raw_Data!F198)))</f>
        <v>New</v>
      </c>
      <c r="G198">
        <f>Raw_Data!G198</f>
        <v>3</v>
      </c>
      <c r="H198">
        <f>IF(Raw_Data!H198="","",Raw_Data!H198)</f>
        <v>6671.31</v>
      </c>
      <c r="I198">
        <f>IF(Raw_Data!I198="","",Raw_Data!I198)</f>
        <v>352.3</v>
      </c>
      <c r="J198" t="str">
        <f>IF(TRIM(Raw_Data!J198)="","Review",PROPER(TRIM(Raw_Data!J198)))</f>
        <v>Upi</v>
      </c>
      <c r="K198" t="str">
        <f t="shared" si="3"/>
        <v>OK</v>
      </c>
    </row>
    <row r="199" spans="1:11">
      <c r="A199" t="str">
        <f>Raw_Data!A199</f>
        <v>ORD-0198</v>
      </c>
      <c r="B199" t="s">
        <v>394</v>
      </c>
      <c r="C199" t="str">
        <f>PROPER(TRIM(Raw_Data!C199))</f>
        <v>North</v>
      </c>
      <c r="D199" t="str">
        <f>PROPER(TRIM(Raw_Data!D199))</f>
        <v>Clothing</v>
      </c>
      <c r="E199" t="str">
        <f>PROPER(TRIM(Raw_Data!E199))</f>
        <v>Sneakers</v>
      </c>
      <c r="F199" t="str">
        <f>IF(TRIM(Raw_Data!F199)="","Review",PROPER(TRIM(Raw_Data!F199)))</f>
        <v>New</v>
      </c>
      <c r="G199">
        <f>Raw_Data!G199</f>
        <v>4</v>
      </c>
      <c r="H199">
        <f>IF(Raw_Data!H199="","",Raw_Data!H199)</f>
        <v>14071.95</v>
      </c>
      <c r="I199">
        <f>IF(Raw_Data!I199="","",Raw_Data!I199)</f>
        <v>2770.76</v>
      </c>
      <c r="J199" t="str">
        <f>IF(TRIM(Raw_Data!J199)="","Review",PROPER(TRIM(Raw_Data!J199)))</f>
        <v>Cash</v>
      </c>
      <c r="K199" t="str">
        <f t="shared" si="3"/>
        <v>OK</v>
      </c>
    </row>
    <row r="200" spans="1:11">
      <c r="A200" t="str">
        <f>Raw_Data!A200</f>
        <v>ORD-0199</v>
      </c>
      <c r="B200" t="s">
        <v>333</v>
      </c>
      <c r="C200" t="str">
        <f>PROPER(TRIM(Raw_Data!C200))</f>
        <v>South</v>
      </c>
      <c r="D200" t="str">
        <f>PROPER(TRIM(Raw_Data!D200))</f>
        <v>Home</v>
      </c>
      <c r="E200" t="str">
        <f>PROPER(TRIM(Raw_Data!E200))</f>
        <v>Blender</v>
      </c>
      <c r="F200" t="str">
        <f>IF(TRIM(Raw_Data!F200)="","Review",PROPER(TRIM(Raw_Data!F200)))</f>
        <v>New</v>
      </c>
      <c r="G200">
        <f>Raw_Data!G200</f>
        <v>4</v>
      </c>
      <c r="H200">
        <f>IF(Raw_Data!H200="","",Raw_Data!H200)</f>
        <v>12712.53</v>
      </c>
      <c r="I200">
        <f>IF(Raw_Data!I200="","",Raw_Data!I200)</f>
        <v>1350.7</v>
      </c>
      <c r="J200" t="str">
        <f>IF(TRIM(Raw_Data!J200)="","Review",PROPER(TRIM(Raw_Data!J200)))</f>
        <v>Net Banking</v>
      </c>
      <c r="K200" t="str">
        <f t="shared" si="3"/>
        <v>OK</v>
      </c>
    </row>
    <row r="201" spans="1:11">
      <c r="A201" t="str">
        <f>Raw_Data!A201</f>
        <v>ORD-0200</v>
      </c>
      <c r="B201" t="s">
        <v>219</v>
      </c>
      <c r="C201" t="str">
        <f>PROPER(TRIM(Raw_Data!C201))</f>
        <v>East</v>
      </c>
      <c r="D201" t="str">
        <f>PROPER(TRIM(Raw_Data!D201))</f>
        <v>Home</v>
      </c>
      <c r="E201" t="str">
        <f>PROPER(TRIM(Raw_Data!E201))</f>
        <v>Blender</v>
      </c>
      <c r="F201" t="str">
        <f>IF(TRIM(Raw_Data!F201)="","Review",PROPER(TRIM(Raw_Data!F201)))</f>
        <v>New</v>
      </c>
      <c r="G201">
        <f>Raw_Data!G201</f>
        <v>1</v>
      </c>
      <c r="H201">
        <f>IF(Raw_Data!H201="","",Raw_Data!H201)</f>
        <v>3211.59</v>
      </c>
      <c r="I201">
        <f>IF(Raw_Data!I201="","",Raw_Data!I201)</f>
        <v>94.69</v>
      </c>
      <c r="J201" t="str">
        <f>IF(TRIM(Raw_Data!J201)="","Review",PROPER(TRIM(Raw_Data!J201)))</f>
        <v>Cash</v>
      </c>
      <c r="K201" t="str">
        <f t="shared" si="3"/>
        <v>OK</v>
      </c>
    </row>
    <row r="202" spans="1:11">
      <c r="A202" t="str">
        <f>Raw_Data!A202</f>
        <v>ORD-0201</v>
      </c>
      <c r="B202" t="s">
        <v>110</v>
      </c>
      <c r="C202" t="str">
        <f>PROPER(TRIM(Raw_Data!C202))</f>
        <v>East</v>
      </c>
      <c r="D202" t="str">
        <f>PROPER(TRIM(Raw_Data!D202))</f>
        <v>Home</v>
      </c>
      <c r="E202" t="str">
        <f>PROPER(TRIM(Raw_Data!E202))</f>
        <v>Bedsheet</v>
      </c>
      <c r="F202" t="str">
        <f>IF(TRIM(Raw_Data!F202)="","Review",PROPER(TRIM(Raw_Data!F202)))</f>
        <v>New</v>
      </c>
      <c r="G202">
        <f>Raw_Data!G202</f>
        <v>1</v>
      </c>
      <c r="H202">
        <f>IF(Raw_Data!H202="","",Raw_Data!H202)</f>
        <v>1330.17</v>
      </c>
      <c r="I202" t="str">
        <f>IF(Raw_Data!I202="","",Raw_Data!I202)</f>
        <v/>
      </c>
      <c r="J202" t="str">
        <f>IF(TRIM(Raw_Data!J202)="","Review",PROPER(TRIM(Raw_Data!J202)))</f>
        <v>Cash</v>
      </c>
      <c r="K202" t="str">
        <f t="shared" si="3"/>
        <v>Review</v>
      </c>
    </row>
    <row r="203" spans="1:11">
      <c r="A203" t="str">
        <f>Raw_Data!A203</f>
        <v>ORD-0202</v>
      </c>
      <c r="B203" t="s">
        <v>399</v>
      </c>
      <c r="C203" t="str">
        <f>PROPER(TRIM(Raw_Data!C203))</f>
        <v>South</v>
      </c>
      <c r="D203" t="str">
        <f>PROPER(TRIM(Raw_Data!D203))</f>
        <v>Home</v>
      </c>
      <c r="E203" t="str">
        <f>PROPER(TRIM(Raw_Data!E203))</f>
        <v>Chair</v>
      </c>
      <c r="F203" t="str">
        <f>IF(TRIM(Raw_Data!F203)="","Review",PROPER(TRIM(Raw_Data!F203)))</f>
        <v>New</v>
      </c>
      <c r="G203">
        <f>Raw_Data!G203</f>
        <v>1</v>
      </c>
      <c r="H203">
        <f>IF(Raw_Data!H203="","",Raw_Data!H203)</f>
        <v>4502.32</v>
      </c>
      <c r="I203">
        <f>IF(Raw_Data!I203="","",Raw_Data!I203)</f>
        <v>-86.85</v>
      </c>
      <c r="J203" t="str">
        <f>IF(TRIM(Raw_Data!J203)="","Review",PROPER(TRIM(Raw_Data!J203)))</f>
        <v>Cash</v>
      </c>
      <c r="K203" t="str">
        <f t="shared" si="3"/>
        <v>OK</v>
      </c>
    </row>
    <row r="204" spans="1:11">
      <c r="A204" t="str">
        <f>Raw_Data!A204</f>
        <v>ORD-0203</v>
      </c>
      <c r="B204" t="s">
        <v>401</v>
      </c>
      <c r="C204" t="str">
        <f>PROPER(TRIM(Raw_Data!C204))</f>
        <v>East</v>
      </c>
      <c r="D204" t="str">
        <f>PROPER(TRIM(Raw_Data!D204))</f>
        <v>Home</v>
      </c>
      <c r="E204" t="str">
        <f>PROPER(TRIM(Raw_Data!E204))</f>
        <v>Blender</v>
      </c>
      <c r="F204" t="str">
        <f>IF(TRIM(Raw_Data!F204)="","Review",PROPER(TRIM(Raw_Data!F204)))</f>
        <v>New</v>
      </c>
      <c r="G204">
        <f>Raw_Data!G204</f>
        <v>1</v>
      </c>
      <c r="H204">
        <f>IF(Raw_Data!H204="","",Raw_Data!H204)</f>
        <v>2931.98</v>
      </c>
      <c r="I204">
        <f>IF(Raw_Data!I204="","",Raw_Data!I204)</f>
        <v>766.64</v>
      </c>
      <c r="J204" t="str">
        <f>IF(TRIM(Raw_Data!J204)="","Review",PROPER(TRIM(Raw_Data!J204)))</f>
        <v>Net Banking</v>
      </c>
      <c r="K204" t="str">
        <f t="shared" si="3"/>
        <v>OK</v>
      </c>
    </row>
    <row r="205" spans="1:11">
      <c r="A205" t="str">
        <f>Raw_Data!A205</f>
        <v>ORD-0204</v>
      </c>
      <c r="B205" t="s">
        <v>403</v>
      </c>
      <c r="C205" t="str">
        <f>PROPER(TRIM(Raw_Data!C205))</f>
        <v>East</v>
      </c>
      <c r="D205" t="str">
        <f>PROPER(TRIM(Raw_Data!D205))</f>
        <v>Home</v>
      </c>
      <c r="E205" t="str">
        <f>PROPER(TRIM(Raw_Data!E205))</f>
        <v>Blender</v>
      </c>
      <c r="F205" t="str">
        <f>IF(TRIM(Raw_Data!F205)="","Review",PROPER(TRIM(Raw_Data!F205)))</f>
        <v>Existing</v>
      </c>
      <c r="G205">
        <f>Raw_Data!G205</f>
        <v>4</v>
      </c>
      <c r="H205">
        <f>IF(Raw_Data!H205="","",Raw_Data!H205)</f>
        <v>13795.83</v>
      </c>
      <c r="I205">
        <f>IF(Raw_Data!I205="","",Raw_Data!I205)</f>
        <v>1605.94</v>
      </c>
      <c r="J205" t="str">
        <f>IF(TRIM(Raw_Data!J205)="","Review",PROPER(TRIM(Raw_Data!J205)))</f>
        <v>Card</v>
      </c>
      <c r="K205" t="str">
        <f t="shared" si="3"/>
        <v>OK</v>
      </c>
    </row>
    <row r="206" spans="1:11">
      <c r="A206" t="str">
        <f>Raw_Data!A206</f>
        <v>ORD-0205</v>
      </c>
      <c r="B206" t="s">
        <v>98</v>
      </c>
      <c r="C206" t="str">
        <f>PROPER(TRIM(Raw_Data!C206))</f>
        <v>West</v>
      </c>
      <c r="D206" t="str">
        <f>PROPER(TRIM(Raw_Data!D206))</f>
        <v>Home</v>
      </c>
      <c r="E206" t="str">
        <f>PROPER(TRIM(Raw_Data!E206))</f>
        <v>Cookware Set</v>
      </c>
      <c r="F206" t="str">
        <f>IF(TRIM(Raw_Data!F206)="","Review",PROPER(TRIM(Raw_Data!F206)))</f>
        <v>Existing</v>
      </c>
      <c r="G206">
        <f>Raw_Data!G206</f>
        <v>3</v>
      </c>
      <c r="H206">
        <f>IF(Raw_Data!H206="","",Raw_Data!H206)</f>
        <v>8321.9500000000007</v>
      </c>
      <c r="I206">
        <f>IF(Raw_Data!I206="","",Raw_Data!I206)</f>
        <v>1397.26</v>
      </c>
      <c r="J206" t="str">
        <f>IF(TRIM(Raw_Data!J206)="","Review",PROPER(TRIM(Raw_Data!J206)))</f>
        <v>Net Banking</v>
      </c>
      <c r="K206" t="str">
        <f t="shared" si="3"/>
        <v>OK</v>
      </c>
    </row>
    <row r="207" spans="1:11">
      <c r="A207" t="str">
        <f>Raw_Data!A207</f>
        <v>ORD-0206</v>
      </c>
      <c r="B207" t="s">
        <v>390</v>
      </c>
      <c r="C207" t="str">
        <f>PROPER(TRIM(Raw_Data!C207))</f>
        <v>East</v>
      </c>
      <c r="D207" t="str">
        <f>PROPER(TRIM(Raw_Data!D207))</f>
        <v>Clothing</v>
      </c>
      <c r="E207" t="str">
        <f>PROPER(TRIM(Raw_Data!E207))</f>
        <v>T-Shirt</v>
      </c>
      <c r="F207" t="str">
        <f>IF(TRIM(Raw_Data!F207)="","Review",PROPER(TRIM(Raw_Data!F207)))</f>
        <v>Existing</v>
      </c>
      <c r="G207">
        <f>Raw_Data!G207</f>
        <v>3</v>
      </c>
      <c r="H207">
        <f>IF(Raw_Data!H207="","",Raw_Data!H207)</f>
        <v>2144.8000000000002</v>
      </c>
      <c r="I207">
        <f>IF(Raw_Data!I207="","",Raw_Data!I207)</f>
        <v>69.77</v>
      </c>
      <c r="J207" t="str">
        <f>IF(TRIM(Raw_Data!J207)="","Review",PROPER(TRIM(Raw_Data!J207)))</f>
        <v>Card</v>
      </c>
      <c r="K207" t="str">
        <f t="shared" si="3"/>
        <v>OK</v>
      </c>
    </row>
    <row r="208" spans="1:11">
      <c r="A208" t="str">
        <f>Raw_Data!A208</f>
        <v>ORD-0207</v>
      </c>
      <c r="B208" t="s">
        <v>142</v>
      </c>
      <c r="C208" t="str">
        <f>PROPER(TRIM(Raw_Data!C208))</f>
        <v>East</v>
      </c>
      <c r="D208" t="str">
        <f>PROPER(TRIM(Raw_Data!D208))</f>
        <v>Clothing</v>
      </c>
      <c r="E208" t="str">
        <f>PROPER(TRIM(Raw_Data!E208))</f>
        <v>Dress</v>
      </c>
      <c r="F208" t="str">
        <f>IF(TRIM(Raw_Data!F208)="","Review",PROPER(TRIM(Raw_Data!F208)))</f>
        <v>Existing</v>
      </c>
      <c r="G208">
        <f>Raw_Data!G208</f>
        <v>5</v>
      </c>
      <c r="H208">
        <f>IF(Raw_Data!H208="","",Raw_Data!H208)</f>
        <v>8751.75</v>
      </c>
      <c r="I208">
        <f>IF(Raw_Data!I208="","",Raw_Data!I208)</f>
        <v>61.49</v>
      </c>
      <c r="J208" t="str">
        <f>IF(TRIM(Raw_Data!J208)="","Review",PROPER(TRIM(Raw_Data!J208)))</f>
        <v>Card</v>
      </c>
      <c r="K208" t="str">
        <f t="shared" si="3"/>
        <v>OK</v>
      </c>
    </row>
    <row r="209" spans="1:11">
      <c r="A209" t="str">
        <f>Raw_Data!A209</f>
        <v>ORD-0208</v>
      </c>
      <c r="B209" t="s">
        <v>408</v>
      </c>
      <c r="C209" t="str">
        <f>PROPER(TRIM(Raw_Data!C209))</f>
        <v>West</v>
      </c>
      <c r="D209" t="str">
        <f>PROPER(TRIM(Raw_Data!D209))</f>
        <v>Electronics</v>
      </c>
      <c r="E209" t="str">
        <f>PROPER(TRIM(Raw_Data!E209))</f>
        <v>Laptop</v>
      </c>
      <c r="F209" t="str">
        <f>IF(TRIM(Raw_Data!F209)="","Review",PROPER(TRIM(Raw_Data!F209)))</f>
        <v>New</v>
      </c>
      <c r="G209">
        <f>Raw_Data!G209</f>
        <v>1</v>
      </c>
      <c r="H209">
        <f>IF(Raw_Data!H209="","",Raw_Data!H209)</f>
        <v>49818.2</v>
      </c>
      <c r="I209">
        <f>IF(Raw_Data!I209="","",Raw_Data!I209)</f>
        <v>2904.1</v>
      </c>
      <c r="J209" t="str">
        <f>IF(TRIM(Raw_Data!J209)="","Review",PROPER(TRIM(Raw_Data!J209)))</f>
        <v>Card</v>
      </c>
      <c r="K209" t="str">
        <f t="shared" si="3"/>
        <v>OK</v>
      </c>
    </row>
    <row r="210" spans="1:11">
      <c r="A210" t="str">
        <f>Raw_Data!A210</f>
        <v>ORD-0209</v>
      </c>
      <c r="B210" t="s">
        <v>410</v>
      </c>
      <c r="C210" t="str">
        <f>PROPER(TRIM(Raw_Data!C210))</f>
        <v>West</v>
      </c>
      <c r="D210" t="str">
        <f>PROPER(TRIM(Raw_Data!D210))</f>
        <v>Clothing</v>
      </c>
      <c r="E210" t="str">
        <f>PROPER(TRIM(Raw_Data!E210))</f>
        <v>Dress</v>
      </c>
      <c r="F210" t="str">
        <f>IF(TRIM(Raw_Data!F210)="","Review",PROPER(TRIM(Raw_Data!F210)))</f>
        <v>Existing</v>
      </c>
      <c r="G210">
        <f>Raw_Data!G210</f>
        <v>3</v>
      </c>
      <c r="H210">
        <f>IF(Raw_Data!H210="","",Raw_Data!H210)</f>
        <v>5346.41</v>
      </c>
      <c r="I210">
        <f>IF(Raw_Data!I210="","",Raw_Data!I210)</f>
        <v>-121.03</v>
      </c>
      <c r="J210" t="str">
        <f>IF(TRIM(Raw_Data!J210)="","Review",PROPER(TRIM(Raw_Data!J210)))</f>
        <v>Cash</v>
      </c>
      <c r="K210" t="str">
        <f t="shared" si="3"/>
        <v>OK</v>
      </c>
    </row>
    <row r="211" spans="1:11">
      <c r="A211" t="str">
        <f>Raw_Data!A211</f>
        <v>ORD-0210</v>
      </c>
      <c r="B211" t="s">
        <v>357</v>
      </c>
      <c r="C211" t="str">
        <f>PROPER(TRIM(Raw_Data!C211))</f>
        <v>South</v>
      </c>
      <c r="D211" t="str">
        <f>PROPER(TRIM(Raw_Data!D211))</f>
        <v>Clothing</v>
      </c>
      <c r="E211" t="str">
        <f>PROPER(TRIM(Raw_Data!E211))</f>
        <v>Jacket</v>
      </c>
      <c r="F211" t="str">
        <f>IF(TRIM(Raw_Data!F211)="","Review",PROPER(TRIM(Raw_Data!F211)))</f>
        <v>Existing</v>
      </c>
      <c r="G211">
        <f>Raw_Data!G211</f>
        <v>1</v>
      </c>
      <c r="H211">
        <f>IF(Raw_Data!H211="","",Raw_Data!H211)</f>
        <v>2395.9</v>
      </c>
      <c r="I211">
        <f>IF(Raw_Data!I211="","",Raw_Data!I211)</f>
        <v>244.29</v>
      </c>
      <c r="J211" t="str">
        <f>IF(TRIM(Raw_Data!J211)="","Review",PROPER(TRIM(Raw_Data!J211)))</f>
        <v>Upi</v>
      </c>
      <c r="K211" t="str">
        <f t="shared" si="3"/>
        <v>OK</v>
      </c>
    </row>
    <row r="212" spans="1:11">
      <c r="A212" t="str">
        <f>Raw_Data!A212</f>
        <v>ORD-0211</v>
      </c>
      <c r="B212" t="s">
        <v>216</v>
      </c>
      <c r="C212" t="str">
        <f>PROPER(TRIM(Raw_Data!C212))</f>
        <v>West</v>
      </c>
      <c r="D212" t="str">
        <f>PROPER(TRIM(Raw_Data!D212))</f>
        <v>Electronics</v>
      </c>
      <c r="E212" t="str">
        <f>PROPER(TRIM(Raw_Data!E212))</f>
        <v>Smartphone</v>
      </c>
      <c r="F212" t="str">
        <f>IF(TRIM(Raw_Data!F212)="","Review",PROPER(TRIM(Raw_Data!F212)))</f>
        <v>Existing</v>
      </c>
      <c r="G212">
        <f>Raw_Data!G212</f>
        <v>4</v>
      </c>
      <c r="H212">
        <f>IF(Raw_Data!H212="","",Raw_Data!H212)</f>
        <v>114184.42</v>
      </c>
      <c r="I212">
        <f>IF(Raw_Data!I212="","",Raw_Data!I212)</f>
        <v>25511.75</v>
      </c>
      <c r="J212" t="str">
        <f>IF(TRIM(Raw_Data!J212)="","Review",PROPER(TRIM(Raw_Data!J212)))</f>
        <v>Upi</v>
      </c>
      <c r="K212" t="str">
        <f t="shared" si="3"/>
        <v>OK</v>
      </c>
    </row>
    <row r="213" spans="1:11">
      <c r="A213" t="str">
        <f>Raw_Data!A213</f>
        <v>ORD-0212</v>
      </c>
      <c r="B213" t="s">
        <v>414</v>
      </c>
      <c r="C213" t="str">
        <f>PROPER(TRIM(Raw_Data!C213))</f>
        <v>East</v>
      </c>
      <c r="D213" t="str">
        <f>PROPER(TRIM(Raw_Data!D213))</f>
        <v>Electronics</v>
      </c>
      <c r="E213" t="str">
        <f>PROPER(TRIM(Raw_Data!E213))</f>
        <v>Keyboard</v>
      </c>
      <c r="F213" t="str">
        <f>IF(TRIM(Raw_Data!F213)="","Review",PROPER(TRIM(Raw_Data!F213)))</f>
        <v>New</v>
      </c>
      <c r="G213">
        <f>Raw_Data!G213</f>
        <v>2</v>
      </c>
      <c r="H213">
        <f>IF(Raw_Data!H213="","",Raw_Data!H213)</f>
        <v>3875.37</v>
      </c>
      <c r="I213">
        <f>IF(Raw_Data!I213="","",Raw_Data!I213)</f>
        <v>704.94</v>
      </c>
      <c r="J213" t="str">
        <f>IF(TRIM(Raw_Data!J213)="","Review",PROPER(TRIM(Raw_Data!J213)))</f>
        <v>Net Banking</v>
      </c>
      <c r="K213" t="str">
        <f t="shared" si="3"/>
        <v>OK</v>
      </c>
    </row>
    <row r="214" spans="1:11">
      <c r="A214" t="str">
        <f>Raw_Data!A214</f>
        <v>ORD-0213</v>
      </c>
      <c r="B214" t="s">
        <v>416</v>
      </c>
      <c r="C214" t="str">
        <f>PROPER(TRIM(Raw_Data!C214))</f>
        <v>West</v>
      </c>
      <c r="D214" t="str">
        <f>PROPER(TRIM(Raw_Data!D214))</f>
        <v>Electronics</v>
      </c>
      <c r="E214" t="str">
        <f>PROPER(TRIM(Raw_Data!E214))</f>
        <v>Monitor</v>
      </c>
      <c r="F214" t="str">
        <f>IF(TRIM(Raw_Data!F214)="","Review",PROPER(TRIM(Raw_Data!F214)))</f>
        <v>Existing</v>
      </c>
      <c r="G214">
        <f>Raw_Data!G214</f>
        <v>5</v>
      </c>
      <c r="H214">
        <f>IF(Raw_Data!H214="","",Raw_Data!H214)</f>
        <v>56335.86</v>
      </c>
      <c r="I214">
        <f>IF(Raw_Data!I214="","",Raw_Data!I214)</f>
        <v>6713</v>
      </c>
      <c r="J214" t="str">
        <f>IF(TRIM(Raw_Data!J214)="","Review",PROPER(TRIM(Raw_Data!J214)))</f>
        <v>Cash</v>
      </c>
      <c r="K214" t="str">
        <f t="shared" si="3"/>
        <v>OK</v>
      </c>
    </row>
    <row r="215" spans="1:11">
      <c r="A215" t="str">
        <f>Raw_Data!A215</f>
        <v>ORD-0214</v>
      </c>
      <c r="B215" t="s">
        <v>418</v>
      </c>
      <c r="C215" t="str">
        <f>PROPER(TRIM(Raw_Data!C215))</f>
        <v>East</v>
      </c>
      <c r="D215" t="str">
        <f>PROPER(TRIM(Raw_Data!D215))</f>
        <v>Home</v>
      </c>
      <c r="E215" t="str">
        <f>PROPER(TRIM(Raw_Data!E215))</f>
        <v>Chair</v>
      </c>
      <c r="F215" t="str">
        <f>IF(TRIM(Raw_Data!F215)="","Review",PROPER(TRIM(Raw_Data!F215)))</f>
        <v>Existing</v>
      </c>
      <c r="G215">
        <f>Raw_Data!G215</f>
        <v>1</v>
      </c>
      <c r="H215">
        <f>IF(Raw_Data!H215="","",Raw_Data!H215)</f>
        <v>4165.8</v>
      </c>
      <c r="I215">
        <f>IF(Raw_Data!I215="","",Raw_Data!I215)</f>
        <v>-188.27</v>
      </c>
      <c r="J215" t="str">
        <f>IF(TRIM(Raw_Data!J215)="","Review",PROPER(TRIM(Raw_Data!J215)))</f>
        <v>Card</v>
      </c>
      <c r="K215" t="str">
        <f t="shared" si="3"/>
        <v>OK</v>
      </c>
    </row>
    <row r="216" spans="1:11">
      <c r="A216" t="str">
        <f>Raw_Data!A216</f>
        <v>ORD-0215</v>
      </c>
      <c r="B216" t="s">
        <v>420</v>
      </c>
      <c r="C216" t="str">
        <f>PROPER(TRIM(Raw_Data!C216))</f>
        <v>South</v>
      </c>
      <c r="D216" t="str">
        <f>PROPER(TRIM(Raw_Data!D216))</f>
        <v>Electronics</v>
      </c>
      <c r="E216" t="str">
        <f>PROPER(TRIM(Raw_Data!E216))</f>
        <v>Monitor</v>
      </c>
      <c r="F216" t="str">
        <f>IF(TRIM(Raw_Data!F216)="","Review",PROPER(TRIM(Raw_Data!F216)))</f>
        <v>Existing</v>
      </c>
      <c r="G216">
        <f>Raw_Data!G216</f>
        <v>5</v>
      </c>
      <c r="H216">
        <f>IF(Raw_Data!H216="","",Raw_Data!H216)</f>
        <v>58816.65</v>
      </c>
      <c r="I216">
        <f>IF(Raw_Data!I216="","",Raw_Data!I216)</f>
        <v>-3852.97</v>
      </c>
      <c r="J216" t="str">
        <f>IF(TRIM(Raw_Data!J216)="","Review",PROPER(TRIM(Raw_Data!J216)))</f>
        <v>Net Banking</v>
      </c>
      <c r="K216" t="str">
        <f t="shared" si="3"/>
        <v>OK</v>
      </c>
    </row>
    <row r="217" spans="1:11">
      <c r="A217" t="str">
        <f>Raw_Data!A217</f>
        <v>ORD-0216</v>
      </c>
      <c r="B217" t="s">
        <v>377</v>
      </c>
      <c r="C217" t="str">
        <f>PROPER(TRIM(Raw_Data!C217))</f>
        <v>East</v>
      </c>
      <c r="D217" t="str">
        <f>PROPER(TRIM(Raw_Data!D217))</f>
        <v>Home</v>
      </c>
      <c r="E217" t="str">
        <f>PROPER(TRIM(Raw_Data!E217))</f>
        <v>Cookware Set</v>
      </c>
      <c r="F217" t="str">
        <f>IF(TRIM(Raw_Data!F217)="","Review",PROPER(TRIM(Raw_Data!F217)))</f>
        <v>New</v>
      </c>
      <c r="G217">
        <f>Raw_Data!G217</f>
        <v>2</v>
      </c>
      <c r="H217">
        <f>IF(Raw_Data!H217="","",Raw_Data!H217)</f>
        <v>5719.01</v>
      </c>
      <c r="I217">
        <f>IF(Raw_Data!I217="","",Raw_Data!I217)</f>
        <v>603.82000000000005</v>
      </c>
      <c r="J217" t="str">
        <f>IF(TRIM(Raw_Data!J217)="","Review",PROPER(TRIM(Raw_Data!J217)))</f>
        <v>Net Banking</v>
      </c>
      <c r="K217" t="str">
        <f t="shared" si="3"/>
        <v>OK</v>
      </c>
    </row>
    <row r="218" spans="1:11">
      <c r="A218" t="str">
        <f>Raw_Data!A218</f>
        <v>ORD-0217</v>
      </c>
      <c r="B218" t="s">
        <v>423</v>
      </c>
      <c r="C218" t="str">
        <f>PROPER(TRIM(Raw_Data!C218))</f>
        <v>West</v>
      </c>
      <c r="D218" t="str">
        <f>PROPER(TRIM(Raw_Data!D218))</f>
        <v>Home</v>
      </c>
      <c r="E218" t="str">
        <f>PROPER(TRIM(Raw_Data!E218))</f>
        <v>Bedsheet</v>
      </c>
      <c r="F218" t="str">
        <f>IF(TRIM(Raw_Data!F218)="","Review",PROPER(TRIM(Raw_Data!F218)))</f>
        <v>Existing</v>
      </c>
      <c r="G218">
        <f>Raw_Data!G218</f>
        <v>5</v>
      </c>
      <c r="H218">
        <f>IF(Raw_Data!H218="","",Raw_Data!H218)</f>
        <v>6770.92</v>
      </c>
      <c r="I218">
        <f>IF(Raw_Data!I218="","",Raw_Data!I218)</f>
        <v>1477.31</v>
      </c>
      <c r="J218" t="str">
        <f>IF(TRIM(Raw_Data!J218)="","Review",PROPER(TRIM(Raw_Data!J218)))</f>
        <v>Net Banking</v>
      </c>
      <c r="K218" t="str">
        <f t="shared" si="3"/>
        <v>OK</v>
      </c>
    </row>
    <row r="219" spans="1:11">
      <c r="A219" t="str">
        <f>Raw_Data!A219</f>
        <v>ORD-0218</v>
      </c>
      <c r="B219" t="s">
        <v>91</v>
      </c>
      <c r="C219" t="str">
        <f>PROPER(TRIM(Raw_Data!C219))</f>
        <v>East</v>
      </c>
      <c r="D219" t="str">
        <f>PROPER(TRIM(Raw_Data!D219))</f>
        <v>Electronics</v>
      </c>
      <c r="E219" t="str">
        <f>PROPER(TRIM(Raw_Data!E219))</f>
        <v>Smartphone</v>
      </c>
      <c r="F219" t="str">
        <f>IF(TRIM(Raw_Data!F219)="","Review",PROPER(TRIM(Raw_Data!F219)))</f>
        <v>New</v>
      </c>
      <c r="G219">
        <f>Raw_Data!G219</f>
        <v>3</v>
      </c>
      <c r="H219">
        <f>IF(Raw_Data!H219="","",Raw_Data!H219)</f>
        <v>86919.95</v>
      </c>
      <c r="I219">
        <f>IF(Raw_Data!I219="","",Raw_Data!I219)</f>
        <v>23708.57</v>
      </c>
      <c r="J219" t="str">
        <f>IF(TRIM(Raw_Data!J219)="","Review",PROPER(TRIM(Raw_Data!J219)))</f>
        <v>Net Banking</v>
      </c>
      <c r="K219" t="str">
        <f t="shared" si="3"/>
        <v>OK</v>
      </c>
    </row>
    <row r="220" spans="1:11">
      <c r="A220" t="str">
        <f>Raw_Data!A220</f>
        <v>ORD-0219</v>
      </c>
      <c r="B220" t="s">
        <v>426</v>
      </c>
      <c r="C220" t="str">
        <f>PROPER(TRIM(Raw_Data!C220))</f>
        <v>South</v>
      </c>
      <c r="D220" t="str">
        <f>PROPER(TRIM(Raw_Data!D220))</f>
        <v>Clothing</v>
      </c>
      <c r="E220" t="str">
        <f>PROPER(TRIM(Raw_Data!E220))</f>
        <v>Dress</v>
      </c>
      <c r="F220" t="str">
        <f>IF(TRIM(Raw_Data!F220)="","Review",PROPER(TRIM(Raw_Data!F220)))</f>
        <v>Existing</v>
      </c>
      <c r="G220">
        <f>Raw_Data!G220</f>
        <v>5</v>
      </c>
      <c r="H220">
        <f>IF(Raw_Data!H220="","",Raw_Data!H220)</f>
        <v>8982.33</v>
      </c>
      <c r="I220">
        <f>IF(Raw_Data!I220="","",Raw_Data!I220)</f>
        <v>-552.52</v>
      </c>
      <c r="J220" t="str">
        <f>IF(TRIM(Raw_Data!J220)="","Review",PROPER(TRIM(Raw_Data!J220)))</f>
        <v>Card</v>
      </c>
      <c r="K220" t="str">
        <f t="shared" si="3"/>
        <v>OK</v>
      </c>
    </row>
    <row r="221" spans="1:11">
      <c r="A221" t="str">
        <f>Raw_Data!A221</f>
        <v>ORD-0220</v>
      </c>
      <c r="B221" t="s">
        <v>85</v>
      </c>
      <c r="C221" t="str">
        <f>PROPER(TRIM(Raw_Data!C221))</f>
        <v>North</v>
      </c>
      <c r="D221" t="str">
        <f>PROPER(TRIM(Raw_Data!D221))</f>
        <v>Home</v>
      </c>
      <c r="E221" t="str">
        <f>PROPER(TRIM(Raw_Data!E221))</f>
        <v>Desk Lamp</v>
      </c>
      <c r="F221" t="str">
        <f>IF(TRIM(Raw_Data!F221)="","Review",PROPER(TRIM(Raw_Data!F221)))</f>
        <v>Existing</v>
      </c>
      <c r="G221">
        <f>Raw_Data!G221</f>
        <v>1</v>
      </c>
      <c r="H221">
        <f>IF(Raw_Data!H221="","",Raw_Data!H221)</f>
        <v>913.06</v>
      </c>
      <c r="I221">
        <f>IF(Raw_Data!I221="","",Raw_Data!I221)</f>
        <v>157.22</v>
      </c>
      <c r="J221" t="str">
        <f>IF(TRIM(Raw_Data!J221)="","Review",PROPER(TRIM(Raw_Data!J221)))</f>
        <v>Cash</v>
      </c>
      <c r="K221" t="str">
        <f t="shared" si="3"/>
        <v>OK</v>
      </c>
    </row>
    <row r="222" spans="1:11">
      <c r="A222" t="str">
        <f>Raw_Data!A222</f>
        <v>ORD-0221</v>
      </c>
      <c r="B222" t="s">
        <v>429</v>
      </c>
      <c r="C222" t="str">
        <f>PROPER(TRIM(Raw_Data!C222))</f>
        <v>West</v>
      </c>
      <c r="D222" t="str">
        <f>PROPER(TRIM(Raw_Data!D222))</f>
        <v>Clothing</v>
      </c>
      <c r="E222" t="str">
        <f>PROPER(TRIM(Raw_Data!E222))</f>
        <v>T-Shirt</v>
      </c>
      <c r="F222" t="str">
        <f>IF(TRIM(Raw_Data!F222)="","Review",PROPER(TRIM(Raw_Data!F222)))</f>
        <v>New</v>
      </c>
      <c r="G222">
        <f>Raw_Data!G222</f>
        <v>4</v>
      </c>
      <c r="H222">
        <f>IF(Raw_Data!H222="","",Raw_Data!H222)</f>
        <v>2906.68</v>
      </c>
      <c r="I222">
        <f>IF(Raw_Data!I222="","",Raw_Data!I222)</f>
        <v>196.89</v>
      </c>
      <c r="J222" t="str">
        <f>IF(TRIM(Raw_Data!J222)="","Review",PROPER(TRIM(Raw_Data!J222)))</f>
        <v>Card</v>
      </c>
      <c r="K222" t="str">
        <f t="shared" si="3"/>
        <v>OK</v>
      </c>
    </row>
    <row r="223" spans="1:11">
      <c r="A223" t="str">
        <f>Raw_Data!A223</f>
        <v>ORD-0222</v>
      </c>
      <c r="B223" t="s">
        <v>431</v>
      </c>
      <c r="C223" t="str">
        <f>PROPER(TRIM(Raw_Data!C223))</f>
        <v>West</v>
      </c>
      <c r="D223" t="str">
        <f>PROPER(TRIM(Raw_Data!D223))</f>
        <v>Home</v>
      </c>
      <c r="E223" t="str">
        <f>PROPER(TRIM(Raw_Data!E223))</f>
        <v>Desk Lamp</v>
      </c>
      <c r="F223" t="str">
        <f>IF(TRIM(Raw_Data!F223)="","Review",PROPER(TRIM(Raw_Data!F223)))</f>
        <v>Existing</v>
      </c>
      <c r="G223">
        <f>Raw_Data!G223</f>
        <v>5</v>
      </c>
      <c r="H223">
        <f>IF(Raw_Data!H223="","",Raw_Data!H223)</f>
        <v>4342.54</v>
      </c>
      <c r="I223">
        <f>IF(Raw_Data!I223="","",Raw_Data!I223)</f>
        <v>687.87</v>
      </c>
      <c r="J223" t="str">
        <f>IF(TRIM(Raw_Data!J223)="","Review",PROPER(TRIM(Raw_Data!J223)))</f>
        <v>Card</v>
      </c>
      <c r="K223" t="str">
        <f t="shared" si="3"/>
        <v>OK</v>
      </c>
    </row>
    <row r="224" spans="1:11">
      <c r="A224" t="str">
        <f>Raw_Data!A224</f>
        <v>ORD-0223</v>
      </c>
      <c r="B224" t="s">
        <v>433</v>
      </c>
      <c r="C224" t="str">
        <f>PROPER(TRIM(Raw_Data!C224))</f>
        <v>East</v>
      </c>
      <c r="D224" t="str">
        <f>PROPER(TRIM(Raw_Data!D224))</f>
        <v>Clothing</v>
      </c>
      <c r="E224" t="str">
        <f>PROPER(TRIM(Raw_Data!E224))</f>
        <v>Dress</v>
      </c>
      <c r="F224" t="str">
        <f>IF(TRIM(Raw_Data!F224)="","Review",PROPER(TRIM(Raw_Data!F224)))</f>
        <v>Existing</v>
      </c>
      <c r="G224">
        <f>Raw_Data!G224</f>
        <v>3</v>
      </c>
      <c r="H224">
        <f>IF(Raw_Data!H224="","",Raw_Data!H224)</f>
        <v>5752.75</v>
      </c>
      <c r="I224">
        <f>IF(Raw_Data!I224="","",Raw_Data!I224)</f>
        <v>939.5</v>
      </c>
      <c r="J224" t="str">
        <f>IF(TRIM(Raw_Data!J224)="","Review",PROPER(TRIM(Raw_Data!J224)))</f>
        <v>Card</v>
      </c>
      <c r="K224" t="str">
        <f t="shared" si="3"/>
        <v>OK</v>
      </c>
    </row>
    <row r="225" spans="1:11">
      <c r="A225" t="str">
        <f>Raw_Data!A225</f>
        <v>ORD-0224</v>
      </c>
      <c r="B225" t="s">
        <v>232</v>
      </c>
      <c r="C225" t="str">
        <f>PROPER(TRIM(Raw_Data!C225))</f>
        <v>East</v>
      </c>
      <c r="D225" t="str">
        <f>PROPER(TRIM(Raw_Data!D225))</f>
        <v>Electronics</v>
      </c>
      <c r="E225" t="str">
        <f>PROPER(TRIM(Raw_Data!E225))</f>
        <v>Smartphone</v>
      </c>
      <c r="F225" t="str">
        <f>IF(TRIM(Raw_Data!F225)="","Review",PROPER(TRIM(Raw_Data!F225)))</f>
        <v>New</v>
      </c>
      <c r="G225">
        <f>Raw_Data!G225</f>
        <v>5</v>
      </c>
      <c r="H225">
        <f>IF(Raw_Data!H225="","",Raw_Data!H225)</f>
        <v>134357.98000000001</v>
      </c>
      <c r="I225">
        <f>IF(Raw_Data!I225="","",Raw_Data!I225)</f>
        <v>34789.96</v>
      </c>
      <c r="J225" t="str">
        <f>IF(TRIM(Raw_Data!J225)="","Review",PROPER(TRIM(Raw_Data!J225)))</f>
        <v>Net Banking</v>
      </c>
      <c r="K225" t="str">
        <f t="shared" si="3"/>
        <v>OK</v>
      </c>
    </row>
    <row r="226" spans="1:11">
      <c r="A226" t="str">
        <f>Raw_Data!A226</f>
        <v>ORD-0225</v>
      </c>
      <c r="B226" t="s">
        <v>285</v>
      </c>
      <c r="C226" t="str">
        <f>PROPER(TRIM(Raw_Data!C226))</f>
        <v>East</v>
      </c>
      <c r="D226" t="str">
        <f>PROPER(TRIM(Raw_Data!D226))</f>
        <v>Clothing</v>
      </c>
      <c r="E226" t="str">
        <f>PROPER(TRIM(Raw_Data!E226))</f>
        <v>Sneakers</v>
      </c>
      <c r="F226" t="str">
        <f>IF(TRIM(Raw_Data!F226)="","Review",PROPER(TRIM(Raw_Data!F226)))</f>
        <v>New</v>
      </c>
      <c r="G226">
        <f>Raw_Data!G226</f>
        <v>3</v>
      </c>
      <c r="H226">
        <f>IF(Raw_Data!H226="","",Raw_Data!H226)</f>
        <v>10627.02</v>
      </c>
      <c r="I226">
        <f>IF(Raw_Data!I226="","",Raw_Data!I226)</f>
        <v>2724.92</v>
      </c>
      <c r="J226" t="str">
        <f>IF(TRIM(Raw_Data!J226)="","Review",PROPER(TRIM(Raw_Data!J226)))</f>
        <v>Net Banking</v>
      </c>
      <c r="K226" t="str">
        <f t="shared" si="3"/>
        <v>OK</v>
      </c>
    </row>
    <row r="227" spans="1:11">
      <c r="A227" t="str">
        <f>Raw_Data!A227</f>
        <v>ORD-0226</v>
      </c>
      <c r="B227" t="s">
        <v>36</v>
      </c>
      <c r="C227" t="str">
        <f>PROPER(TRIM(Raw_Data!C227))</f>
        <v>East</v>
      </c>
      <c r="D227" t="str">
        <f>PROPER(TRIM(Raw_Data!D227))</f>
        <v>Clothing</v>
      </c>
      <c r="E227" t="str">
        <f>PROPER(TRIM(Raw_Data!E227))</f>
        <v>Jeans</v>
      </c>
      <c r="F227" t="str">
        <f>IF(TRIM(Raw_Data!F227)="","Review",PROPER(TRIM(Raw_Data!F227)))</f>
        <v>Existing</v>
      </c>
      <c r="G227">
        <f>Raw_Data!G227</f>
        <v>2</v>
      </c>
      <c r="H227">
        <f>IF(Raw_Data!H227="","",Raw_Data!H227)</f>
        <v>3065.89</v>
      </c>
      <c r="I227">
        <f>IF(Raw_Data!I227="","",Raw_Data!I227)</f>
        <v>72.19</v>
      </c>
      <c r="J227" t="str">
        <f>IF(TRIM(Raw_Data!J227)="","Review",PROPER(TRIM(Raw_Data!J227)))</f>
        <v>Cash</v>
      </c>
      <c r="K227" t="str">
        <f t="shared" si="3"/>
        <v>OK</v>
      </c>
    </row>
    <row r="228" spans="1:11">
      <c r="A228" t="str">
        <f>Raw_Data!A228</f>
        <v>ORD-0227</v>
      </c>
      <c r="B228" t="s">
        <v>48</v>
      </c>
      <c r="C228" t="str">
        <f>PROPER(TRIM(Raw_Data!C228))</f>
        <v>East</v>
      </c>
      <c r="D228" t="str">
        <f>PROPER(TRIM(Raw_Data!D228))</f>
        <v>Home</v>
      </c>
      <c r="E228" t="str">
        <f>PROPER(TRIM(Raw_Data!E228))</f>
        <v>Cookware Set</v>
      </c>
      <c r="F228" t="str">
        <f>IF(TRIM(Raw_Data!F228)="","Review",PROPER(TRIM(Raw_Data!F228)))</f>
        <v>New</v>
      </c>
      <c r="G228">
        <f>Raw_Data!G228</f>
        <v>2</v>
      </c>
      <c r="H228">
        <f>IF(Raw_Data!H228="","",Raw_Data!H228)</f>
        <v>5266.32</v>
      </c>
      <c r="I228">
        <f>IF(Raw_Data!I228="","",Raw_Data!I228)</f>
        <v>599.77</v>
      </c>
      <c r="J228" t="str">
        <f>IF(TRIM(Raw_Data!J228)="","Review",PROPER(TRIM(Raw_Data!J228)))</f>
        <v>Upi</v>
      </c>
      <c r="K228" t="str">
        <f t="shared" si="3"/>
        <v>OK</v>
      </c>
    </row>
    <row r="229" spans="1:11">
      <c r="A229" t="str">
        <f>Raw_Data!A229</f>
        <v>ORD-0228</v>
      </c>
      <c r="B229" t="s">
        <v>439</v>
      </c>
      <c r="C229" t="str">
        <f>PROPER(TRIM(Raw_Data!C229))</f>
        <v>South</v>
      </c>
      <c r="D229" t="str">
        <f>PROPER(TRIM(Raw_Data!D229))</f>
        <v>Home</v>
      </c>
      <c r="E229" t="str">
        <f>PROPER(TRIM(Raw_Data!E229))</f>
        <v>Chair</v>
      </c>
      <c r="F229" t="str">
        <f>IF(TRIM(Raw_Data!F229)="","Review",PROPER(TRIM(Raw_Data!F229)))</f>
        <v>New</v>
      </c>
      <c r="G229">
        <f>Raw_Data!G229</f>
        <v>2</v>
      </c>
      <c r="H229">
        <f>IF(Raw_Data!H229="","",Raw_Data!H229)</f>
        <v>8536.42</v>
      </c>
      <c r="I229">
        <f>IF(Raw_Data!I229="","",Raw_Data!I229)</f>
        <v>1375.56</v>
      </c>
      <c r="J229" t="str">
        <f>IF(TRIM(Raw_Data!J229)="","Review",PROPER(TRIM(Raw_Data!J229)))</f>
        <v>Upi</v>
      </c>
      <c r="K229" t="str">
        <f t="shared" si="3"/>
        <v>OK</v>
      </c>
    </row>
    <row r="230" spans="1:11">
      <c r="A230" t="str">
        <f>Raw_Data!A230</f>
        <v>ORD-0229</v>
      </c>
      <c r="B230" t="s">
        <v>441</v>
      </c>
      <c r="C230" t="str">
        <f>PROPER(TRIM(Raw_Data!C230))</f>
        <v>North</v>
      </c>
      <c r="D230" t="str">
        <f>PROPER(TRIM(Raw_Data!D230))</f>
        <v>Electronics</v>
      </c>
      <c r="E230" t="str">
        <f>PROPER(TRIM(Raw_Data!E230))</f>
        <v>Keyboard</v>
      </c>
      <c r="F230" t="str">
        <f>IF(TRIM(Raw_Data!F230)="","Review",PROPER(TRIM(Raw_Data!F230)))</f>
        <v>New</v>
      </c>
      <c r="G230">
        <f>Raw_Data!G230</f>
        <v>3</v>
      </c>
      <c r="H230">
        <f>IF(Raw_Data!H230="","",Raw_Data!H230)</f>
        <v>5634.75</v>
      </c>
      <c r="I230">
        <f>IF(Raw_Data!I230="","",Raw_Data!I230)</f>
        <v>-246.82</v>
      </c>
      <c r="J230" t="str">
        <f>IF(TRIM(Raw_Data!J230)="","Review",PROPER(TRIM(Raw_Data!J230)))</f>
        <v>Net Banking</v>
      </c>
      <c r="K230" t="str">
        <f t="shared" si="3"/>
        <v>OK</v>
      </c>
    </row>
    <row r="231" spans="1:11">
      <c r="A231" t="str">
        <f>Raw_Data!A231</f>
        <v>ORD-0230</v>
      </c>
      <c r="B231" t="s">
        <v>206</v>
      </c>
      <c r="C231" t="str">
        <f>PROPER(TRIM(Raw_Data!C231))</f>
        <v>East</v>
      </c>
      <c r="D231" t="str">
        <f>PROPER(TRIM(Raw_Data!D231))</f>
        <v>Home</v>
      </c>
      <c r="E231" t="str">
        <f>PROPER(TRIM(Raw_Data!E231))</f>
        <v>Cookware Set</v>
      </c>
      <c r="F231" t="str">
        <f>IF(TRIM(Raw_Data!F231)="","Review",PROPER(TRIM(Raw_Data!F231)))</f>
        <v>Existing</v>
      </c>
      <c r="G231">
        <f>Raw_Data!G231</f>
        <v>4</v>
      </c>
      <c r="H231">
        <f>IF(Raw_Data!H231="","",Raw_Data!H231)</f>
        <v>11537.21</v>
      </c>
      <c r="I231">
        <f>IF(Raw_Data!I231="","",Raw_Data!I231)</f>
        <v>2216.62</v>
      </c>
      <c r="J231" t="str">
        <f>IF(TRIM(Raw_Data!J231)="","Review",PROPER(TRIM(Raw_Data!J231)))</f>
        <v>Upi</v>
      </c>
      <c r="K231" t="str">
        <f t="shared" si="3"/>
        <v>OK</v>
      </c>
    </row>
    <row r="232" spans="1:11">
      <c r="A232" t="str">
        <f>Raw_Data!A232</f>
        <v>ORD-0231</v>
      </c>
      <c r="B232" t="s">
        <v>420</v>
      </c>
      <c r="C232" t="str">
        <f>PROPER(TRIM(Raw_Data!C232))</f>
        <v>South</v>
      </c>
      <c r="D232" t="str">
        <f>PROPER(TRIM(Raw_Data!D232))</f>
        <v>Electronics</v>
      </c>
      <c r="E232" t="str">
        <f>PROPER(TRIM(Raw_Data!E232))</f>
        <v>Monitor</v>
      </c>
      <c r="F232" t="str">
        <f>IF(TRIM(Raw_Data!F232)="","Review",PROPER(TRIM(Raw_Data!F232)))</f>
        <v>Existing</v>
      </c>
      <c r="G232">
        <f>Raw_Data!G232</f>
        <v>2</v>
      </c>
      <c r="H232">
        <f>IF(Raw_Data!H232="","",Raw_Data!H232)</f>
        <v>24168.73</v>
      </c>
      <c r="I232">
        <f>IF(Raw_Data!I232="","",Raw_Data!I232)</f>
        <v>4358.16</v>
      </c>
      <c r="J232" t="str">
        <f>IF(TRIM(Raw_Data!J232)="","Review",PROPER(TRIM(Raw_Data!J232)))</f>
        <v>Card</v>
      </c>
      <c r="K232" t="str">
        <f t="shared" si="3"/>
        <v>OK</v>
      </c>
    </row>
    <row r="233" spans="1:11">
      <c r="A233" t="str">
        <f>Raw_Data!A233</f>
        <v>ORD-0232</v>
      </c>
      <c r="B233" t="s">
        <v>445</v>
      </c>
      <c r="C233" t="str">
        <f>PROPER(TRIM(Raw_Data!C233))</f>
        <v>North</v>
      </c>
      <c r="D233" t="str">
        <f>PROPER(TRIM(Raw_Data!D233))</f>
        <v>Electronics</v>
      </c>
      <c r="E233" t="str">
        <f>PROPER(TRIM(Raw_Data!E233))</f>
        <v>Keyboard</v>
      </c>
      <c r="F233" t="str">
        <f>IF(TRIM(Raw_Data!F233)="","Review",PROPER(TRIM(Raw_Data!F233)))</f>
        <v>New</v>
      </c>
      <c r="G233">
        <f>Raw_Data!G233</f>
        <v>4</v>
      </c>
      <c r="H233">
        <f>IF(Raw_Data!H233="","",Raw_Data!H233)</f>
        <v>6748.29</v>
      </c>
      <c r="I233">
        <f>IF(Raw_Data!I233="","",Raw_Data!I233)</f>
        <v>1279.75</v>
      </c>
      <c r="J233" t="str">
        <f>IF(TRIM(Raw_Data!J233)="","Review",PROPER(TRIM(Raw_Data!J233)))</f>
        <v>Cash</v>
      </c>
      <c r="K233" t="str">
        <f t="shared" si="3"/>
        <v>OK</v>
      </c>
    </row>
    <row r="234" spans="1:11">
      <c r="A234" t="str">
        <f>Raw_Data!A234</f>
        <v>ORD-0233</v>
      </c>
      <c r="B234" t="s">
        <v>274</v>
      </c>
      <c r="C234" t="str">
        <f>PROPER(TRIM(Raw_Data!C234))</f>
        <v>West</v>
      </c>
      <c r="D234" t="str">
        <f>PROPER(TRIM(Raw_Data!D234))</f>
        <v>Home</v>
      </c>
      <c r="E234" t="str">
        <f>PROPER(TRIM(Raw_Data!E234))</f>
        <v>Chair</v>
      </c>
      <c r="F234" t="str">
        <f>IF(TRIM(Raw_Data!F234)="","Review",PROPER(TRIM(Raw_Data!F234)))</f>
        <v>New</v>
      </c>
      <c r="G234">
        <f>Raw_Data!G234</f>
        <v>1</v>
      </c>
      <c r="H234">
        <f>IF(Raw_Data!H234="","",Raw_Data!H234)</f>
        <v>4885.6099999999997</v>
      </c>
      <c r="I234">
        <f>IF(Raw_Data!I234="","",Raw_Data!I234)</f>
        <v>198.43</v>
      </c>
      <c r="J234" t="str">
        <f>IF(TRIM(Raw_Data!J234)="","Review",PROPER(TRIM(Raw_Data!J234)))</f>
        <v>Net Banking</v>
      </c>
      <c r="K234" t="str">
        <f t="shared" si="3"/>
        <v>OK</v>
      </c>
    </row>
    <row r="235" spans="1:11">
      <c r="A235" t="str">
        <f>Raw_Data!A235</f>
        <v>ORD-0234</v>
      </c>
      <c r="B235" t="s">
        <v>265</v>
      </c>
      <c r="C235" t="str">
        <f>PROPER(TRIM(Raw_Data!C235))</f>
        <v>East</v>
      </c>
      <c r="D235" t="str">
        <f>PROPER(TRIM(Raw_Data!D235))</f>
        <v>Clothing</v>
      </c>
      <c r="E235" t="str">
        <f>PROPER(TRIM(Raw_Data!E235))</f>
        <v>T-Shirt</v>
      </c>
      <c r="F235" t="str">
        <f>IF(TRIM(Raw_Data!F235)="","Review",PROPER(TRIM(Raw_Data!F235)))</f>
        <v>New</v>
      </c>
      <c r="G235">
        <f>Raw_Data!G235</f>
        <v>1</v>
      </c>
      <c r="H235">
        <f>IF(Raw_Data!H235="","",Raw_Data!H235)</f>
        <v>676.3</v>
      </c>
      <c r="I235">
        <f>IF(Raw_Data!I235="","",Raw_Data!I235)</f>
        <v>123.9</v>
      </c>
      <c r="J235" t="str">
        <f>IF(TRIM(Raw_Data!J235)="","Review",PROPER(TRIM(Raw_Data!J235)))</f>
        <v>Upi</v>
      </c>
      <c r="K235" t="str">
        <f t="shared" si="3"/>
        <v>OK</v>
      </c>
    </row>
    <row r="236" spans="1:11">
      <c r="A236" t="str">
        <f>Raw_Data!A236</f>
        <v>ORD-0235</v>
      </c>
      <c r="B236" t="s">
        <v>449</v>
      </c>
      <c r="C236" t="str">
        <f>PROPER(TRIM(Raw_Data!C236))</f>
        <v>West</v>
      </c>
      <c r="D236" t="str">
        <f>PROPER(TRIM(Raw_Data!D236))</f>
        <v>Home</v>
      </c>
      <c r="E236" t="str">
        <f>PROPER(TRIM(Raw_Data!E236))</f>
        <v>Bedsheet</v>
      </c>
      <c r="F236" t="str">
        <f>IF(TRIM(Raw_Data!F236)="","Review",PROPER(TRIM(Raw_Data!F236)))</f>
        <v>Existing</v>
      </c>
      <c r="G236">
        <f>Raw_Data!G236</f>
        <v>3</v>
      </c>
      <c r="H236">
        <f>IF(Raw_Data!H236="","",Raw_Data!H236)</f>
        <v>4256.9399999999996</v>
      </c>
      <c r="I236">
        <f>IF(Raw_Data!I236="","",Raw_Data!I236)</f>
        <v>819.98</v>
      </c>
      <c r="J236" t="str">
        <f>IF(TRIM(Raw_Data!J236)="","Review",PROPER(TRIM(Raw_Data!J236)))</f>
        <v>Cash</v>
      </c>
      <c r="K236" t="str">
        <f t="shared" si="3"/>
        <v>OK</v>
      </c>
    </row>
    <row r="237" spans="1:11">
      <c r="A237" t="str">
        <f>Raw_Data!A237</f>
        <v>ORD-0236</v>
      </c>
      <c r="B237" t="s">
        <v>214</v>
      </c>
      <c r="C237" t="str">
        <f>PROPER(TRIM(Raw_Data!C237))</f>
        <v>South</v>
      </c>
      <c r="D237" t="str">
        <f>PROPER(TRIM(Raw_Data!D237))</f>
        <v>Electronics</v>
      </c>
      <c r="E237" t="str">
        <f>PROPER(TRIM(Raw_Data!E237))</f>
        <v>Keyboard</v>
      </c>
      <c r="F237" t="str">
        <f>IF(TRIM(Raw_Data!F237)="","Review",PROPER(TRIM(Raw_Data!F237)))</f>
        <v>New</v>
      </c>
      <c r="G237">
        <f>Raw_Data!G237</f>
        <v>1</v>
      </c>
      <c r="H237">
        <f>IF(Raw_Data!H237="","",Raw_Data!H237)</f>
        <v>1686.52</v>
      </c>
      <c r="I237">
        <f>IF(Raw_Data!I237="","",Raw_Data!I237)</f>
        <v>-49.55</v>
      </c>
      <c r="J237" t="str">
        <f>IF(TRIM(Raw_Data!J237)="","Review",PROPER(TRIM(Raw_Data!J237)))</f>
        <v>Cash</v>
      </c>
      <c r="K237" t="str">
        <f t="shared" si="3"/>
        <v>OK</v>
      </c>
    </row>
    <row r="238" spans="1:11">
      <c r="A238" t="str">
        <f>Raw_Data!A238</f>
        <v>ORD-0237</v>
      </c>
      <c r="B238" t="s">
        <v>452</v>
      </c>
      <c r="C238" t="str">
        <f>PROPER(TRIM(Raw_Data!C238))</f>
        <v>North</v>
      </c>
      <c r="D238" t="str">
        <f>PROPER(TRIM(Raw_Data!D238))</f>
        <v>Clothing</v>
      </c>
      <c r="E238" t="str">
        <f>PROPER(TRIM(Raw_Data!E238))</f>
        <v>T-Shirt</v>
      </c>
      <c r="F238" t="str">
        <f>IF(TRIM(Raw_Data!F238)="","Review",PROPER(TRIM(Raw_Data!F238)))</f>
        <v>Existing</v>
      </c>
      <c r="G238">
        <f>Raw_Data!G238</f>
        <v>4</v>
      </c>
      <c r="H238">
        <f>IF(Raw_Data!H238="","",Raw_Data!H238)</f>
        <v>2942.1</v>
      </c>
      <c r="I238">
        <f>IF(Raw_Data!I238="","",Raw_Data!I238)</f>
        <v>775.1</v>
      </c>
      <c r="J238" t="str">
        <f>IF(TRIM(Raw_Data!J238)="","Review",PROPER(TRIM(Raw_Data!J238)))</f>
        <v>Cash</v>
      </c>
      <c r="K238" t="str">
        <f t="shared" si="3"/>
        <v>OK</v>
      </c>
    </row>
    <row r="239" spans="1:11">
      <c r="A239" t="str">
        <f>Raw_Data!A239</f>
        <v>ORD-0238</v>
      </c>
      <c r="B239" t="s">
        <v>25</v>
      </c>
      <c r="C239" t="str">
        <f>PROPER(TRIM(Raw_Data!C239))</f>
        <v>West</v>
      </c>
      <c r="D239" t="str">
        <f>PROPER(TRIM(Raw_Data!D239))</f>
        <v>Home</v>
      </c>
      <c r="E239" t="str">
        <f>PROPER(TRIM(Raw_Data!E239))</f>
        <v>Desk Lamp</v>
      </c>
      <c r="F239" t="str">
        <f>IF(TRIM(Raw_Data!F239)="","Review",PROPER(TRIM(Raw_Data!F239)))</f>
        <v>Existing</v>
      </c>
      <c r="G239">
        <f>Raw_Data!G239</f>
        <v>1</v>
      </c>
      <c r="H239">
        <f>IF(Raw_Data!H239="","",Raw_Data!H239)</f>
        <v>930.2</v>
      </c>
      <c r="I239">
        <f>IF(Raw_Data!I239="","",Raw_Data!I239)</f>
        <v>81.430000000000007</v>
      </c>
      <c r="J239" t="str">
        <f>IF(TRIM(Raw_Data!J239)="","Review",PROPER(TRIM(Raw_Data!J239)))</f>
        <v>Upi</v>
      </c>
      <c r="K239" t="str">
        <f t="shared" si="3"/>
        <v>OK</v>
      </c>
    </row>
    <row r="240" spans="1:11">
      <c r="A240" t="str">
        <f>Raw_Data!A240</f>
        <v>ORD-0239</v>
      </c>
      <c r="B240" t="s">
        <v>100</v>
      </c>
      <c r="C240" t="str">
        <f>PROPER(TRIM(Raw_Data!C240))</f>
        <v>West</v>
      </c>
      <c r="D240" t="str">
        <f>PROPER(TRIM(Raw_Data!D240))</f>
        <v>Home</v>
      </c>
      <c r="E240" t="str">
        <f>PROPER(TRIM(Raw_Data!E240))</f>
        <v>Bedsheet</v>
      </c>
      <c r="F240" t="str">
        <f>IF(TRIM(Raw_Data!F240)="","Review",PROPER(TRIM(Raw_Data!F240)))</f>
        <v>New</v>
      </c>
      <c r="G240">
        <f>Raw_Data!G240</f>
        <v>3</v>
      </c>
      <c r="H240">
        <f>IF(Raw_Data!H240="","",Raw_Data!H240)</f>
        <v>4296.29</v>
      </c>
      <c r="I240">
        <f>IF(Raw_Data!I240="","",Raw_Data!I240)</f>
        <v>-4.78</v>
      </c>
      <c r="J240" t="str">
        <f>IF(TRIM(Raw_Data!J240)="","Review",PROPER(TRIM(Raw_Data!J240)))</f>
        <v>Net Banking</v>
      </c>
      <c r="K240" t="str">
        <f t="shared" si="3"/>
        <v>OK</v>
      </c>
    </row>
    <row r="241" spans="1:11">
      <c r="A241" t="str">
        <f>Raw_Data!A241</f>
        <v>ORD-0240</v>
      </c>
      <c r="B241" t="s">
        <v>456</v>
      </c>
      <c r="C241" t="str">
        <f>PROPER(TRIM(Raw_Data!C241))</f>
        <v>South</v>
      </c>
      <c r="D241" t="str">
        <f>PROPER(TRIM(Raw_Data!D241))</f>
        <v>Home</v>
      </c>
      <c r="E241" t="str">
        <f>PROPER(TRIM(Raw_Data!E241))</f>
        <v>Chair</v>
      </c>
      <c r="F241" t="str">
        <f>IF(TRIM(Raw_Data!F241)="","Review",PROPER(TRIM(Raw_Data!F241)))</f>
        <v>New</v>
      </c>
      <c r="G241">
        <f>Raw_Data!G241</f>
        <v>3</v>
      </c>
      <c r="H241">
        <f>IF(Raw_Data!H241="","",Raw_Data!H241)</f>
        <v>13272.78</v>
      </c>
      <c r="I241">
        <f>IF(Raw_Data!I241="","",Raw_Data!I241)</f>
        <v>1562.53</v>
      </c>
      <c r="J241" t="str">
        <f>IF(TRIM(Raw_Data!J241)="","Review",PROPER(TRIM(Raw_Data!J241)))</f>
        <v>Upi</v>
      </c>
      <c r="K241" t="str">
        <f t="shared" si="3"/>
        <v>OK</v>
      </c>
    </row>
    <row r="242" spans="1:11">
      <c r="A242" t="str">
        <f>Raw_Data!A242</f>
        <v>ORD-0241</v>
      </c>
      <c r="B242" t="s">
        <v>158</v>
      </c>
      <c r="C242" t="str">
        <f>PROPER(TRIM(Raw_Data!C242))</f>
        <v>North</v>
      </c>
      <c r="D242" t="str">
        <f>PROPER(TRIM(Raw_Data!D242))</f>
        <v>Home</v>
      </c>
      <c r="E242" t="str">
        <f>PROPER(TRIM(Raw_Data!E242))</f>
        <v>Cookware Set</v>
      </c>
      <c r="F242" t="str">
        <f>IF(TRIM(Raw_Data!F242)="","Review",PROPER(TRIM(Raw_Data!F242)))</f>
        <v>New</v>
      </c>
      <c r="G242">
        <f>Raw_Data!G242</f>
        <v>5</v>
      </c>
      <c r="H242">
        <f>IF(Raw_Data!H242="","",Raw_Data!H242)</f>
        <v>14570.55</v>
      </c>
      <c r="I242">
        <f>IF(Raw_Data!I242="","",Raw_Data!I242)</f>
        <v>-755.96</v>
      </c>
      <c r="J242" t="str">
        <f>IF(TRIM(Raw_Data!J242)="","Review",PROPER(TRIM(Raw_Data!J242)))</f>
        <v>Card</v>
      </c>
      <c r="K242" t="str">
        <f t="shared" si="3"/>
        <v>OK</v>
      </c>
    </row>
    <row r="243" spans="1:11">
      <c r="A243" t="str">
        <f>Raw_Data!A243</f>
        <v>ORD-0242</v>
      </c>
      <c r="B243" t="s">
        <v>144</v>
      </c>
      <c r="C243" t="str">
        <f>PROPER(TRIM(Raw_Data!C243))</f>
        <v>North</v>
      </c>
      <c r="D243" t="str">
        <f>PROPER(TRIM(Raw_Data!D243))</f>
        <v>Home</v>
      </c>
      <c r="E243" t="str">
        <f>PROPER(TRIM(Raw_Data!E243))</f>
        <v>Chair</v>
      </c>
      <c r="F243" t="str">
        <f>IF(TRIM(Raw_Data!F243)="","Review",PROPER(TRIM(Raw_Data!F243)))</f>
        <v>New</v>
      </c>
      <c r="G243">
        <f>Raw_Data!G243</f>
        <v>2</v>
      </c>
      <c r="H243">
        <f>IF(Raw_Data!H243="","",Raw_Data!H243)</f>
        <v>8396.17</v>
      </c>
      <c r="I243">
        <f>IF(Raw_Data!I243="","",Raw_Data!I243)</f>
        <v>1911.09</v>
      </c>
      <c r="J243" t="str">
        <f>IF(TRIM(Raw_Data!J243)="","Review",PROPER(TRIM(Raw_Data!J243)))</f>
        <v>Net Banking</v>
      </c>
      <c r="K243" t="str">
        <f t="shared" si="3"/>
        <v>OK</v>
      </c>
    </row>
    <row r="244" spans="1:11">
      <c r="A244" t="str">
        <f>Raw_Data!A244</f>
        <v>ORD-0243</v>
      </c>
      <c r="B244" t="s">
        <v>380</v>
      </c>
      <c r="C244" t="str">
        <f>PROPER(TRIM(Raw_Data!C244))</f>
        <v>West</v>
      </c>
      <c r="D244" t="str">
        <f>PROPER(TRIM(Raw_Data!D244))</f>
        <v>Electronics</v>
      </c>
      <c r="E244" t="str">
        <f>PROPER(TRIM(Raw_Data!E244))</f>
        <v>Monitor</v>
      </c>
      <c r="F244" t="str">
        <f>IF(TRIM(Raw_Data!F244)="","Review",PROPER(TRIM(Raw_Data!F244)))</f>
        <v>Existing</v>
      </c>
      <c r="G244">
        <f>Raw_Data!G244</f>
        <v>4</v>
      </c>
      <c r="H244">
        <f>IF(Raw_Data!H244="","",Raw_Data!H244)</f>
        <v>50963.44</v>
      </c>
      <c r="I244">
        <f>IF(Raw_Data!I244="","",Raw_Data!I244)</f>
        <v>4241.97</v>
      </c>
      <c r="J244" t="str">
        <f>IF(TRIM(Raw_Data!J244)="","Review",PROPER(TRIM(Raw_Data!J244)))</f>
        <v>Upi</v>
      </c>
      <c r="K244" t="str">
        <f t="shared" si="3"/>
        <v>OK</v>
      </c>
    </row>
    <row r="245" spans="1:11">
      <c r="A245" t="str">
        <f>Raw_Data!A245</f>
        <v>ORD-0244</v>
      </c>
      <c r="B245" t="s">
        <v>83</v>
      </c>
      <c r="C245" t="str">
        <f>PROPER(TRIM(Raw_Data!C245))</f>
        <v>South</v>
      </c>
      <c r="D245" t="str">
        <f>PROPER(TRIM(Raw_Data!D245))</f>
        <v>Home</v>
      </c>
      <c r="E245" t="str">
        <f>PROPER(TRIM(Raw_Data!E245))</f>
        <v>Cookware Set</v>
      </c>
      <c r="F245" t="str">
        <f>IF(TRIM(Raw_Data!F245)="","Review",PROPER(TRIM(Raw_Data!F245)))</f>
        <v>New</v>
      </c>
      <c r="G245">
        <f>Raw_Data!G245</f>
        <v>3</v>
      </c>
      <c r="H245">
        <f>IF(Raw_Data!H245="","",Raw_Data!H245)</f>
        <v>8775.11</v>
      </c>
      <c r="I245">
        <f>IF(Raw_Data!I245="","",Raw_Data!I245)</f>
        <v>548.80999999999995</v>
      </c>
      <c r="J245" t="str">
        <f>IF(TRIM(Raw_Data!J245)="","Review",PROPER(TRIM(Raw_Data!J245)))</f>
        <v>Upi</v>
      </c>
      <c r="K245" t="str">
        <f t="shared" si="3"/>
        <v>OK</v>
      </c>
    </row>
    <row r="246" spans="1:11">
      <c r="A246" t="str">
        <f>Raw_Data!A246</f>
        <v>ORD-0245</v>
      </c>
      <c r="B246" t="s">
        <v>462</v>
      </c>
      <c r="C246" t="str">
        <f>PROPER(TRIM(Raw_Data!C246))</f>
        <v>West</v>
      </c>
      <c r="D246" t="str">
        <f>PROPER(TRIM(Raw_Data!D246))</f>
        <v>Clothing</v>
      </c>
      <c r="E246" t="str">
        <f>PROPER(TRIM(Raw_Data!E246))</f>
        <v>Jeans</v>
      </c>
      <c r="F246" t="str">
        <f>IF(TRIM(Raw_Data!F246)="","Review",PROPER(TRIM(Raw_Data!F246)))</f>
        <v>New</v>
      </c>
      <c r="G246">
        <f>Raw_Data!G246</f>
        <v>1</v>
      </c>
      <c r="H246">
        <f>IF(Raw_Data!H246="","",Raw_Data!H246)</f>
        <v>1613.17</v>
      </c>
      <c r="I246">
        <f>IF(Raw_Data!I246="","",Raw_Data!I246)</f>
        <v>-94.06</v>
      </c>
      <c r="J246" t="str">
        <f>IF(TRIM(Raw_Data!J246)="","Review",PROPER(TRIM(Raw_Data!J246)))</f>
        <v>Cash</v>
      </c>
      <c r="K246" t="str">
        <f t="shared" si="3"/>
        <v>OK</v>
      </c>
    </row>
    <row r="247" spans="1:11">
      <c r="A247" t="str">
        <f>Raw_Data!A247</f>
        <v>ORD-0246</v>
      </c>
      <c r="B247" t="s">
        <v>93</v>
      </c>
      <c r="C247" t="str">
        <f>PROPER(TRIM(Raw_Data!C247))</f>
        <v>West</v>
      </c>
      <c r="D247" t="str">
        <f>PROPER(TRIM(Raw_Data!D247))</f>
        <v>Clothing</v>
      </c>
      <c r="E247" t="str">
        <f>PROPER(TRIM(Raw_Data!E247))</f>
        <v>T-Shirt</v>
      </c>
      <c r="F247" t="str">
        <f>IF(TRIM(Raw_Data!F247)="","Review",PROPER(TRIM(Raw_Data!F247)))</f>
        <v>Existing</v>
      </c>
      <c r="G247">
        <f>Raw_Data!G247</f>
        <v>2</v>
      </c>
      <c r="H247">
        <f>IF(Raw_Data!H247="","",Raw_Data!H247)</f>
        <v>1474.43</v>
      </c>
      <c r="I247">
        <f>IF(Raw_Data!I247="","",Raw_Data!I247)</f>
        <v>401.34</v>
      </c>
      <c r="J247" t="str">
        <f>IF(TRIM(Raw_Data!J247)="","Review",PROPER(TRIM(Raw_Data!J247)))</f>
        <v>Net Banking</v>
      </c>
      <c r="K247" t="str">
        <f t="shared" si="3"/>
        <v>OK</v>
      </c>
    </row>
    <row r="248" spans="1:11">
      <c r="A248" t="str">
        <f>Raw_Data!A248</f>
        <v>ORD-0247</v>
      </c>
      <c r="B248" t="s">
        <v>336</v>
      </c>
      <c r="C248" t="str">
        <f>PROPER(TRIM(Raw_Data!C248))</f>
        <v>South</v>
      </c>
      <c r="D248" t="str">
        <f>PROPER(TRIM(Raw_Data!D248))</f>
        <v>Clothing</v>
      </c>
      <c r="E248" t="str">
        <f>PROPER(TRIM(Raw_Data!E248))</f>
        <v>Sneakers</v>
      </c>
      <c r="F248" t="str">
        <f>IF(TRIM(Raw_Data!F248)="","Review",PROPER(TRIM(Raw_Data!F248)))</f>
        <v>Existing</v>
      </c>
      <c r="G248">
        <f>Raw_Data!G248</f>
        <v>4</v>
      </c>
      <c r="H248">
        <f>IF(Raw_Data!H248="","",Raw_Data!H248)</f>
        <v>12824.7</v>
      </c>
      <c r="I248">
        <f>IF(Raw_Data!I248="","",Raw_Data!I248)</f>
        <v>3425.37</v>
      </c>
      <c r="J248" t="str">
        <f>IF(TRIM(Raw_Data!J248)="","Review",PROPER(TRIM(Raw_Data!J248)))</f>
        <v>Upi</v>
      </c>
      <c r="K248" t="str">
        <f t="shared" si="3"/>
        <v>OK</v>
      </c>
    </row>
    <row r="249" spans="1:11">
      <c r="A249" t="str">
        <f>Raw_Data!A249</f>
        <v>ORD-0248</v>
      </c>
      <c r="B249" t="s">
        <v>466</v>
      </c>
      <c r="C249" t="str">
        <f>PROPER(TRIM(Raw_Data!C249))</f>
        <v>North</v>
      </c>
      <c r="D249" t="str">
        <f>PROPER(TRIM(Raw_Data!D249))</f>
        <v>Electronics</v>
      </c>
      <c r="E249" t="str">
        <f>PROPER(TRIM(Raw_Data!E249))</f>
        <v>Monitor</v>
      </c>
      <c r="F249" t="str">
        <f>IF(TRIM(Raw_Data!F249)="","Review",PROPER(TRIM(Raw_Data!F249)))</f>
        <v>New</v>
      </c>
      <c r="G249">
        <f>Raw_Data!G249</f>
        <v>4</v>
      </c>
      <c r="H249">
        <f>IF(Raw_Data!H249="","",Raw_Data!H249)</f>
        <v>48276.89</v>
      </c>
      <c r="I249">
        <f>IF(Raw_Data!I249="","",Raw_Data!I249)</f>
        <v>8787.7900000000009</v>
      </c>
      <c r="J249" t="str">
        <f>IF(TRIM(Raw_Data!J249)="","Review",PROPER(TRIM(Raw_Data!J249)))</f>
        <v>Cash</v>
      </c>
      <c r="K249" t="str">
        <f t="shared" si="3"/>
        <v>OK</v>
      </c>
    </row>
    <row r="250" spans="1:11">
      <c r="A250" t="str">
        <f>Raw_Data!A250</f>
        <v>ORD-0249</v>
      </c>
      <c r="B250" t="s">
        <v>468</v>
      </c>
      <c r="C250" t="str">
        <f>PROPER(TRIM(Raw_Data!C250))</f>
        <v>West</v>
      </c>
      <c r="D250" t="str">
        <f>PROPER(TRIM(Raw_Data!D250))</f>
        <v>Clothing</v>
      </c>
      <c r="E250" t="str">
        <f>PROPER(TRIM(Raw_Data!E250))</f>
        <v>Dress</v>
      </c>
      <c r="F250" t="str">
        <f>IF(TRIM(Raw_Data!F250)="","Review",PROPER(TRIM(Raw_Data!F250)))</f>
        <v>Existing</v>
      </c>
      <c r="G250">
        <f>Raw_Data!G250</f>
        <v>4</v>
      </c>
      <c r="H250">
        <f>IF(Raw_Data!H250="","",Raw_Data!H250)</f>
        <v>7648.54</v>
      </c>
      <c r="I250">
        <f>IF(Raw_Data!I250="","",Raw_Data!I250)</f>
        <v>1655.22</v>
      </c>
      <c r="J250" t="str">
        <f>IF(TRIM(Raw_Data!J250)="","Review",PROPER(TRIM(Raw_Data!J250)))</f>
        <v>Card</v>
      </c>
      <c r="K250" t="str">
        <f t="shared" si="3"/>
        <v>OK</v>
      </c>
    </row>
    <row r="251" spans="1:11">
      <c r="A251" t="str">
        <f>Raw_Data!A251</f>
        <v>ORD-0250</v>
      </c>
      <c r="B251" t="s">
        <v>282</v>
      </c>
      <c r="C251" t="str">
        <f>PROPER(TRIM(Raw_Data!C251))</f>
        <v>North</v>
      </c>
      <c r="D251" t="str">
        <f>PROPER(TRIM(Raw_Data!D251))</f>
        <v>Clothing</v>
      </c>
      <c r="E251" t="str">
        <f>PROPER(TRIM(Raw_Data!E251))</f>
        <v>T-Shirt</v>
      </c>
      <c r="F251" t="str">
        <f>IF(TRIM(Raw_Data!F251)="","Review",PROPER(TRIM(Raw_Data!F251)))</f>
        <v>New</v>
      </c>
      <c r="G251">
        <f>Raw_Data!G251</f>
        <v>1</v>
      </c>
      <c r="H251">
        <f>IF(Raw_Data!H251="","",Raw_Data!H251)</f>
        <v>634.51</v>
      </c>
      <c r="I251">
        <f>IF(Raw_Data!I251="","",Raw_Data!I251)</f>
        <v>100.04</v>
      </c>
      <c r="J251" t="str">
        <f>IF(TRIM(Raw_Data!J251)="","Review",PROPER(TRIM(Raw_Data!J251)))</f>
        <v>Card</v>
      </c>
      <c r="K251" t="str">
        <f t="shared" si="3"/>
        <v>OK</v>
      </c>
    </row>
    <row r="252" spans="1:11">
      <c r="A252" t="str">
        <f>Raw_Data!A252</f>
        <v>ORD-0251</v>
      </c>
      <c r="B252" t="s">
        <v>471</v>
      </c>
      <c r="C252" t="str">
        <f>PROPER(TRIM(Raw_Data!C252))</f>
        <v>North</v>
      </c>
      <c r="D252" t="str">
        <f>PROPER(TRIM(Raw_Data!D252))</f>
        <v>Electronics</v>
      </c>
      <c r="E252" t="str">
        <f>PROPER(TRIM(Raw_Data!E252))</f>
        <v>Laptop</v>
      </c>
      <c r="F252" t="str">
        <f>IF(TRIM(Raw_Data!F252)="","Review",PROPER(TRIM(Raw_Data!F252)))</f>
        <v>New</v>
      </c>
      <c r="G252">
        <f>Raw_Data!G252</f>
        <v>5</v>
      </c>
      <c r="H252">
        <f>IF(Raw_Data!H252="","",Raw_Data!H252)</f>
        <v>235745.97</v>
      </c>
      <c r="I252">
        <f>IF(Raw_Data!I252="","",Raw_Data!I252)</f>
        <v>31873.46</v>
      </c>
      <c r="J252" t="str">
        <f>IF(TRIM(Raw_Data!J252)="","Review",PROPER(TRIM(Raw_Data!J252)))</f>
        <v>Upi</v>
      </c>
      <c r="K252" t="str">
        <f t="shared" si="3"/>
        <v>OK</v>
      </c>
    </row>
    <row r="253" spans="1:11">
      <c r="A253" t="str">
        <f>Raw_Data!A253</f>
        <v>ORD-0252</v>
      </c>
      <c r="B253" t="s">
        <v>473</v>
      </c>
      <c r="C253" t="str">
        <f>PROPER(TRIM(Raw_Data!C253))</f>
        <v>South</v>
      </c>
      <c r="D253" t="str">
        <f>PROPER(TRIM(Raw_Data!D253))</f>
        <v>Clothing</v>
      </c>
      <c r="E253" t="str">
        <f>PROPER(TRIM(Raw_Data!E253))</f>
        <v>Sneakers</v>
      </c>
      <c r="F253" t="str">
        <f>IF(TRIM(Raw_Data!F253)="","Review",PROPER(TRIM(Raw_Data!F253)))</f>
        <v>Existing</v>
      </c>
      <c r="G253">
        <f>Raw_Data!G253</f>
        <v>2</v>
      </c>
      <c r="H253">
        <f>IF(Raw_Data!H253="","",Raw_Data!H253)</f>
        <v>7055.66</v>
      </c>
      <c r="I253">
        <f>IF(Raw_Data!I253="","",Raw_Data!I253)</f>
        <v>1351.72</v>
      </c>
      <c r="J253" t="str">
        <f>IF(TRIM(Raw_Data!J253)="","Review",PROPER(TRIM(Raw_Data!J253)))</f>
        <v>Card</v>
      </c>
      <c r="K253" t="str">
        <f t="shared" si="3"/>
        <v>OK</v>
      </c>
    </row>
    <row r="254" spans="1:11">
      <c r="A254" t="str">
        <f>Raw_Data!A254</f>
        <v>ORD-0253</v>
      </c>
      <c r="B254" t="s">
        <v>475</v>
      </c>
      <c r="C254" t="str">
        <f>PROPER(TRIM(Raw_Data!C254))</f>
        <v>South</v>
      </c>
      <c r="D254" t="str">
        <f>PROPER(TRIM(Raw_Data!D254))</f>
        <v>Home</v>
      </c>
      <c r="E254" t="str">
        <f>PROPER(TRIM(Raw_Data!E254))</f>
        <v>Chair</v>
      </c>
      <c r="F254" t="str">
        <f>IF(TRIM(Raw_Data!F254)="","Review",PROPER(TRIM(Raw_Data!F254)))</f>
        <v>Existing</v>
      </c>
      <c r="G254">
        <f>Raw_Data!G254</f>
        <v>3</v>
      </c>
      <c r="H254">
        <f>IF(Raw_Data!H254="","",Raw_Data!H254)</f>
        <v>13709.18</v>
      </c>
      <c r="I254">
        <f>IF(Raw_Data!I254="","",Raw_Data!I254)</f>
        <v>2715.98</v>
      </c>
      <c r="J254" t="str">
        <f>IF(TRIM(Raw_Data!J254)="","Review",PROPER(TRIM(Raw_Data!J254)))</f>
        <v>Card</v>
      </c>
      <c r="K254" t="str">
        <f t="shared" si="3"/>
        <v>OK</v>
      </c>
    </row>
    <row r="255" spans="1:11">
      <c r="A255" t="str">
        <f>Raw_Data!A255</f>
        <v>ORD-0254</v>
      </c>
      <c r="B255" t="s">
        <v>477</v>
      </c>
      <c r="C255" t="str">
        <f>PROPER(TRIM(Raw_Data!C255))</f>
        <v>South</v>
      </c>
      <c r="D255" t="str">
        <f>PROPER(TRIM(Raw_Data!D255))</f>
        <v>Home</v>
      </c>
      <c r="E255" t="str">
        <f>PROPER(TRIM(Raw_Data!E255))</f>
        <v>Chair</v>
      </c>
      <c r="F255" t="str">
        <f>IF(TRIM(Raw_Data!F255)="","Review",PROPER(TRIM(Raw_Data!F255)))</f>
        <v>Existing</v>
      </c>
      <c r="G255">
        <f>Raw_Data!G255</f>
        <v>2</v>
      </c>
      <c r="H255">
        <f>IF(Raw_Data!H255="","",Raw_Data!H255)</f>
        <v>8844.41</v>
      </c>
      <c r="I255">
        <f>IF(Raw_Data!I255="","",Raw_Data!I255)</f>
        <v>168.53</v>
      </c>
      <c r="J255" t="str">
        <f>IF(TRIM(Raw_Data!J255)="","Review",PROPER(TRIM(Raw_Data!J255)))</f>
        <v>Net Banking</v>
      </c>
      <c r="K255" t="str">
        <f t="shared" si="3"/>
        <v>OK</v>
      </c>
    </row>
    <row r="256" spans="1:11">
      <c r="A256" t="str">
        <f>Raw_Data!A256</f>
        <v>ORD-0255</v>
      </c>
      <c r="B256" t="s">
        <v>479</v>
      </c>
      <c r="C256" t="str">
        <f>PROPER(TRIM(Raw_Data!C256))</f>
        <v>West</v>
      </c>
      <c r="D256" t="str">
        <f>PROPER(TRIM(Raw_Data!D256))</f>
        <v>Electronics</v>
      </c>
      <c r="E256" t="str">
        <f>PROPER(TRIM(Raw_Data!E256))</f>
        <v>Smartphone</v>
      </c>
      <c r="F256" t="str">
        <f>IF(TRIM(Raw_Data!F256)="","Review",PROPER(TRIM(Raw_Data!F256)))</f>
        <v>New</v>
      </c>
      <c r="G256">
        <f>Raw_Data!G256</f>
        <v>4</v>
      </c>
      <c r="H256">
        <f>IF(Raw_Data!H256="","",Raw_Data!H256)</f>
        <v>118402.02</v>
      </c>
      <c r="I256">
        <f>IF(Raw_Data!I256="","",Raw_Data!I256)</f>
        <v>4113.8100000000004</v>
      </c>
      <c r="J256" t="str">
        <f>IF(TRIM(Raw_Data!J256)="","Review",PROPER(TRIM(Raw_Data!J256)))</f>
        <v>Cash</v>
      </c>
      <c r="K256" t="str">
        <f t="shared" si="3"/>
        <v>OK</v>
      </c>
    </row>
    <row r="257" spans="1:11">
      <c r="A257" t="str">
        <f>Raw_Data!A257</f>
        <v>ORD-0256</v>
      </c>
      <c r="B257" t="s">
        <v>127</v>
      </c>
      <c r="C257" t="str">
        <f>PROPER(TRIM(Raw_Data!C257))</f>
        <v>South</v>
      </c>
      <c r="D257" t="str">
        <f>PROPER(TRIM(Raw_Data!D257))</f>
        <v>Clothing</v>
      </c>
      <c r="E257" t="str">
        <f>PROPER(TRIM(Raw_Data!E257))</f>
        <v>T-Shirt</v>
      </c>
      <c r="F257" t="str">
        <f>IF(TRIM(Raw_Data!F257)="","Review",PROPER(TRIM(Raw_Data!F257)))</f>
        <v>Existing</v>
      </c>
      <c r="G257">
        <f>Raw_Data!G257</f>
        <v>5</v>
      </c>
      <c r="H257">
        <f>IF(Raw_Data!H257="","",Raw_Data!H257)</f>
        <v>3481.46</v>
      </c>
      <c r="I257">
        <f>IF(Raw_Data!I257="","",Raw_Data!I257)</f>
        <v>785.98</v>
      </c>
      <c r="J257" t="str">
        <f>IF(TRIM(Raw_Data!J257)="","Review",PROPER(TRIM(Raw_Data!J257)))</f>
        <v>Upi</v>
      </c>
      <c r="K257" t="str">
        <f t="shared" si="3"/>
        <v>OK</v>
      </c>
    </row>
    <row r="258" spans="1:11">
      <c r="A258" t="str">
        <f>Raw_Data!A258</f>
        <v>ORD-0257</v>
      </c>
      <c r="B258" t="s">
        <v>482</v>
      </c>
      <c r="C258" t="str">
        <f>PROPER(TRIM(Raw_Data!C258))</f>
        <v>East</v>
      </c>
      <c r="D258" t="str">
        <f>PROPER(TRIM(Raw_Data!D258))</f>
        <v>Home</v>
      </c>
      <c r="E258" t="str">
        <f>PROPER(TRIM(Raw_Data!E258))</f>
        <v>Cookware Set</v>
      </c>
      <c r="F258" t="str">
        <f>IF(TRIM(Raw_Data!F258)="","Review",PROPER(TRIM(Raw_Data!F258)))</f>
        <v>New</v>
      </c>
      <c r="G258">
        <f>Raw_Data!G258</f>
        <v>4</v>
      </c>
      <c r="H258">
        <f>IF(Raw_Data!H258="","",Raw_Data!H258)</f>
        <v>11328.32</v>
      </c>
      <c r="I258">
        <f>IF(Raw_Data!I258="","",Raw_Data!I258)</f>
        <v>-359.41</v>
      </c>
      <c r="J258" t="str">
        <f>IF(TRIM(Raw_Data!J258)="","Review",PROPER(TRIM(Raw_Data!J258)))</f>
        <v>Cash</v>
      </c>
      <c r="K258" t="str">
        <f t="shared" si="3"/>
        <v>OK</v>
      </c>
    </row>
    <row r="259" spans="1:11">
      <c r="A259" t="str">
        <f>Raw_Data!A259</f>
        <v>ORD-0258</v>
      </c>
      <c r="B259" t="s">
        <v>85</v>
      </c>
      <c r="C259" t="str">
        <f>PROPER(TRIM(Raw_Data!C259))</f>
        <v>North</v>
      </c>
      <c r="D259" t="str">
        <f>PROPER(TRIM(Raw_Data!D259))</f>
        <v>Home</v>
      </c>
      <c r="E259" t="str">
        <f>PROPER(TRIM(Raw_Data!E259))</f>
        <v>Blender</v>
      </c>
      <c r="F259" t="str">
        <f>IF(TRIM(Raw_Data!F259)="","Review",PROPER(TRIM(Raw_Data!F259)))</f>
        <v>Existing</v>
      </c>
      <c r="G259">
        <f>Raw_Data!G259</f>
        <v>4</v>
      </c>
      <c r="H259">
        <f>IF(Raw_Data!H259="","",Raw_Data!H259)</f>
        <v>13688.66</v>
      </c>
      <c r="I259">
        <f>IF(Raw_Data!I259="","",Raw_Data!I259)</f>
        <v>-639.44000000000005</v>
      </c>
      <c r="J259" t="str">
        <f>IF(TRIM(Raw_Data!J259)="","Review",PROPER(TRIM(Raw_Data!J259)))</f>
        <v>Net Banking</v>
      </c>
      <c r="K259" t="str">
        <f t="shared" ref="K259:K301" si="4">IF(OR(H259="",I259="",J259="Review",F259="Review"),"Review","OK")</f>
        <v>OK</v>
      </c>
    </row>
    <row r="260" spans="1:11">
      <c r="A260" t="str">
        <f>Raw_Data!A260</f>
        <v>ORD-0259</v>
      </c>
      <c r="B260" t="s">
        <v>485</v>
      </c>
      <c r="C260" t="str">
        <f>PROPER(TRIM(Raw_Data!C260))</f>
        <v>South</v>
      </c>
      <c r="D260" t="str">
        <f>PROPER(TRIM(Raw_Data!D260))</f>
        <v>Home</v>
      </c>
      <c r="E260" t="str">
        <f>PROPER(TRIM(Raw_Data!E260))</f>
        <v>Chair</v>
      </c>
      <c r="F260" t="str">
        <f>IF(TRIM(Raw_Data!F260)="","Review",PROPER(TRIM(Raw_Data!F260)))</f>
        <v>Existing</v>
      </c>
      <c r="G260">
        <f>Raw_Data!G260</f>
        <v>5</v>
      </c>
      <c r="H260">
        <f>IF(Raw_Data!H260="","",Raw_Data!H260)</f>
        <v>20427.96</v>
      </c>
      <c r="I260">
        <f>IF(Raw_Data!I260="","",Raw_Data!I260)</f>
        <v>-1098.98</v>
      </c>
      <c r="J260" t="str">
        <f>IF(TRIM(Raw_Data!J260)="","Review",PROPER(TRIM(Raw_Data!J260)))</f>
        <v>Card</v>
      </c>
      <c r="K260" t="str">
        <f t="shared" si="4"/>
        <v>OK</v>
      </c>
    </row>
    <row r="261" spans="1:11">
      <c r="A261" t="str">
        <f>Raw_Data!A261</f>
        <v>ORD-0260</v>
      </c>
      <c r="B261" t="s">
        <v>387</v>
      </c>
      <c r="C261" t="str">
        <f>PROPER(TRIM(Raw_Data!C261))</f>
        <v>West</v>
      </c>
      <c r="D261" t="str">
        <f>PROPER(TRIM(Raw_Data!D261))</f>
        <v>Clothing</v>
      </c>
      <c r="E261" t="str">
        <f>PROPER(TRIM(Raw_Data!E261))</f>
        <v>Jeans</v>
      </c>
      <c r="F261" t="str">
        <f>IF(TRIM(Raw_Data!F261)="","Review",PROPER(TRIM(Raw_Data!F261)))</f>
        <v>New</v>
      </c>
      <c r="G261">
        <f>Raw_Data!G261</f>
        <v>1</v>
      </c>
      <c r="H261">
        <f>IF(Raw_Data!H261="","",Raw_Data!H261)</f>
        <v>1507.78</v>
      </c>
      <c r="I261">
        <f>IF(Raw_Data!I261="","",Raw_Data!I261)</f>
        <v>-17.48</v>
      </c>
      <c r="J261" t="str">
        <f>IF(TRIM(Raw_Data!J261)="","Review",PROPER(TRIM(Raw_Data!J261)))</f>
        <v>Card</v>
      </c>
      <c r="K261" t="str">
        <f t="shared" si="4"/>
        <v>OK</v>
      </c>
    </row>
    <row r="262" spans="1:11">
      <c r="A262" t="str">
        <f>Raw_Data!A262</f>
        <v>ORD-0261</v>
      </c>
      <c r="B262" t="s">
        <v>248</v>
      </c>
      <c r="C262" t="str">
        <f>PROPER(TRIM(Raw_Data!C262))</f>
        <v>East</v>
      </c>
      <c r="D262" t="str">
        <f>PROPER(TRIM(Raw_Data!D262))</f>
        <v>Clothing</v>
      </c>
      <c r="E262" t="str">
        <f>PROPER(TRIM(Raw_Data!E262))</f>
        <v>T-Shirt</v>
      </c>
      <c r="F262" t="str">
        <f>IF(TRIM(Raw_Data!F262)="","Review",PROPER(TRIM(Raw_Data!F262)))</f>
        <v>Existing</v>
      </c>
      <c r="G262">
        <f>Raw_Data!G262</f>
        <v>5</v>
      </c>
      <c r="H262">
        <f>IF(Raw_Data!H262="","",Raw_Data!H262)</f>
        <v>3375.13</v>
      </c>
      <c r="I262">
        <f>IF(Raw_Data!I262="","",Raw_Data!I262)</f>
        <v>73.92</v>
      </c>
      <c r="J262" t="str">
        <f>IF(TRIM(Raw_Data!J262)="","Review",PROPER(TRIM(Raw_Data!J262)))</f>
        <v>Cash</v>
      </c>
      <c r="K262" t="str">
        <f t="shared" si="4"/>
        <v>OK</v>
      </c>
    </row>
    <row r="263" spans="1:11">
      <c r="A263" t="str">
        <f>Raw_Data!A263</f>
        <v>ORD-0262</v>
      </c>
      <c r="B263" t="s">
        <v>489</v>
      </c>
      <c r="C263" t="str">
        <f>PROPER(TRIM(Raw_Data!C263))</f>
        <v>East</v>
      </c>
      <c r="D263" t="str">
        <f>PROPER(TRIM(Raw_Data!D263))</f>
        <v>Clothing</v>
      </c>
      <c r="E263" t="str">
        <f>PROPER(TRIM(Raw_Data!E263))</f>
        <v>Dress</v>
      </c>
      <c r="F263" t="str">
        <f>IF(TRIM(Raw_Data!F263)="","Review",PROPER(TRIM(Raw_Data!F263)))</f>
        <v>New</v>
      </c>
      <c r="G263">
        <f>Raw_Data!G263</f>
        <v>4</v>
      </c>
      <c r="H263">
        <f>IF(Raw_Data!H263="","",Raw_Data!H263)</f>
        <v>7548.33</v>
      </c>
      <c r="I263">
        <f>IF(Raw_Data!I263="","",Raw_Data!I263)</f>
        <v>1577.71</v>
      </c>
      <c r="J263" t="str">
        <f>IF(TRIM(Raw_Data!J263)="","Review",PROPER(TRIM(Raw_Data!J263)))</f>
        <v>Cash</v>
      </c>
      <c r="K263" t="str">
        <f t="shared" si="4"/>
        <v>OK</v>
      </c>
    </row>
    <row r="264" spans="1:11">
      <c r="A264" t="str">
        <f>Raw_Data!A264</f>
        <v>ORD-0263</v>
      </c>
      <c r="B264" t="s">
        <v>491</v>
      </c>
      <c r="C264" t="str">
        <f>PROPER(TRIM(Raw_Data!C264))</f>
        <v>North</v>
      </c>
      <c r="D264" t="str">
        <f>PROPER(TRIM(Raw_Data!D264))</f>
        <v>Clothing</v>
      </c>
      <c r="E264" t="str">
        <f>PROPER(TRIM(Raw_Data!E264))</f>
        <v>Sneakers</v>
      </c>
      <c r="F264" t="str">
        <f>IF(TRIM(Raw_Data!F264)="","Review",PROPER(TRIM(Raw_Data!F264)))</f>
        <v>Existing</v>
      </c>
      <c r="G264">
        <f>Raw_Data!G264</f>
        <v>1</v>
      </c>
      <c r="H264">
        <f>IF(Raw_Data!H264="","",Raw_Data!H264)</f>
        <v>3543.77</v>
      </c>
      <c r="I264">
        <f>IF(Raw_Data!I264="","",Raw_Data!I264)</f>
        <v>-1.21</v>
      </c>
      <c r="J264" t="str">
        <f>IF(TRIM(Raw_Data!J264)="","Review",PROPER(TRIM(Raw_Data!J264)))</f>
        <v>Net Banking</v>
      </c>
      <c r="K264" t="str">
        <f t="shared" si="4"/>
        <v>OK</v>
      </c>
    </row>
    <row r="265" spans="1:11">
      <c r="A265" t="str">
        <f>Raw_Data!A265</f>
        <v>ORD-0264</v>
      </c>
      <c r="B265" t="s">
        <v>493</v>
      </c>
      <c r="C265" t="str">
        <f>PROPER(TRIM(Raw_Data!C265))</f>
        <v>West</v>
      </c>
      <c r="D265" t="str">
        <f>PROPER(TRIM(Raw_Data!D265))</f>
        <v>Clothing</v>
      </c>
      <c r="E265" t="str">
        <f>PROPER(TRIM(Raw_Data!E265))</f>
        <v>T-Shirt</v>
      </c>
      <c r="F265" t="str">
        <f>IF(TRIM(Raw_Data!F265)="","Review",PROPER(TRIM(Raw_Data!F265)))</f>
        <v>Existing</v>
      </c>
      <c r="G265">
        <f>Raw_Data!G265</f>
        <v>2</v>
      </c>
      <c r="H265">
        <f>IF(Raw_Data!H265="","",Raw_Data!H265)</f>
        <v>1352.36</v>
      </c>
      <c r="I265">
        <f>IF(Raw_Data!I265="","",Raw_Data!I265)</f>
        <v>76.739999999999995</v>
      </c>
      <c r="J265" t="str">
        <f>IF(TRIM(Raw_Data!J265)="","Review",PROPER(TRIM(Raw_Data!J265)))</f>
        <v>Cash</v>
      </c>
      <c r="K265" t="str">
        <f t="shared" si="4"/>
        <v>OK</v>
      </c>
    </row>
    <row r="266" spans="1:11">
      <c r="A266" t="str">
        <f>Raw_Data!A266</f>
        <v>ORD-0265</v>
      </c>
      <c r="B266" t="s">
        <v>134</v>
      </c>
      <c r="C266" t="str">
        <f>PROPER(TRIM(Raw_Data!C266))</f>
        <v>South</v>
      </c>
      <c r="D266" t="str">
        <f>PROPER(TRIM(Raw_Data!D266))</f>
        <v>Clothing</v>
      </c>
      <c r="E266" t="str">
        <f>PROPER(TRIM(Raw_Data!E266))</f>
        <v>Sneakers</v>
      </c>
      <c r="F266" t="str">
        <f>IF(TRIM(Raw_Data!F266)="","Review",PROPER(TRIM(Raw_Data!F266)))</f>
        <v>Existing</v>
      </c>
      <c r="G266">
        <f>Raw_Data!G266</f>
        <v>4</v>
      </c>
      <c r="H266">
        <f>IF(Raw_Data!H266="","",Raw_Data!H266)</f>
        <v>13071.05</v>
      </c>
      <c r="I266">
        <f>IF(Raw_Data!I266="","",Raw_Data!I266)</f>
        <v>2695.14</v>
      </c>
      <c r="J266" t="str">
        <f>IF(TRIM(Raw_Data!J266)="","Review",PROPER(TRIM(Raw_Data!J266)))</f>
        <v>Card</v>
      </c>
      <c r="K266" t="str">
        <f t="shared" si="4"/>
        <v>OK</v>
      </c>
    </row>
    <row r="267" spans="1:11">
      <c r="A267" t="str">
        <f>Raw_Data!A267</f>
        <v>ORD-0266</v>
      </c>
      <c r="B267" t="s">
        <v>496</v>
      </c>
      <c r="C267" t="str">
        <f>PROPER(TRIM(Raw_Data!C267))</f>
        <v>North</v>
      </c>
      <c r="D267" t="str">
        <f>PROPER(TRIM(Raw_Data!D267))</f>
        <v>Home</v>
      </c>
      <c r="E267" t="str">
        <f>PROPER(TRIM(Raw_Data!E267))</f>
        <v>Blender</v>
      </c>
      <c r="F267" t="str">
        <f>IF(TRIM(Raw_Data!F267)="","Review",PROPER(TRIM(Raw_Data!F267)))</f>
        <v>New</v>
      </c>
      <c r="G267">
        <f>Raw_Data!G267</f>
        <v>5</v>
      </c>
      <c r="H267">
        <f>IF(Raw_Data!H267="","",Raw_Data!H267)</f>
        <v>14508.24</v>
      </c>
      <c r="I267">
        <f>IF(Raw_Data!I267="","",Raw_Data!I267)</f>
        <v>3261.61</v>
      </c>
      <c r="J267" t="str">
        <f>IF(TRIM(Raw_Data!J267)="","Review",PROPER(TRIM(Raw_Data!J267)))</f>
        <v>Net Banking</v>
      </c>
      <c r="K267" t="str">
        <f t="shared" si="4"/>
        <v>OK</v>
      </c>
    </row>
    <row r="268" spans="1:11">
      <c r="A268" t="str">
        <f>Raw_Data!A268</f>
        <v>ORD-0267</v>
      </c>
      <c r="B268" t="s">
        <v>498</v>
      </c>
      <c r="C268" t="str">
        <f>PROPER(TRIM(Raw_Data!C268))</f>
        <v>West</v>
      </c>
      <c r="D268" t="str">
        <f>PROPER(TRIM(Raw_Data!D268))</f>
        <v>Electronics</v>
      </c>
      <c r="E268" t="str">
        <f>PROPER(TRIM(Raw_Data!E268))</f>
        <v>Headphones</v>
      </c>
      <c r="F268" t="str">
        <f>IF(TRIM(Raw_Data!F268)="","Review",PROPER(TRIM(Raw_Data!F268)))</f>
        <v>Existing</v>
      </c>
      <c r="G268">
        <f>Raw_Data!G268</f>
        <v>1</v>
      </c>
      <c r="H268">
        <f>IF(Raw_Data!H268="","",Raw_Data!H268)</f>
        <v>2603.58</v>
      </c>
      <c r="I268">
        <f>IF(Raw_Data!I268="","",Raw_Data!I268)</f>
        <v>-199.72</v>
      </c>
      <c r="J268" t="str">
        <f>IF(TRIM(Raw_Data!J268)="","Review",PROPER(TRIM(Raw_Data!J268)))</f>
        <v>Upi</v>
      </c>
      <c r="K268" t="str">
        <f t="shared" si="4"/>
        <v>OK</v>
      </c>
    </row>
    <row r="269" spans="1:11">
      <c r="A269" t="str">
        <f>Raw_Data!A269</f>
        <v>ORD-0268</v>
      </c>
      <c r="B269" t="s">
        <v>423</v>
      </c>
      <c r="C269" t="str">
        <f>PROPER(TRIM(Raw_Data!C269))</f>
        <v>West</v>
      </c>
      <c r="D269" t="str">
        <f>PROPER(TRIM(Raw_Data!D269))</f>
        <v>Home</v>
      </c>
      <c r="E269" t="str">
        <f>PROPER(TRIM(Raw_Data!E269))</f>
        <v>Chair</v>
      </c>
      <c r="F269" t="str">
        <f>IF(TRIM(Raw_Data!F269)="","Review",PROPER(TRIM(Raw_Data!F269)))</f>
        <v>New</v>
      </c>
      <c r="G269">
        <f>Raw_Data!G269</f>
        <v>4</v>
      </c>
      <c r="H269">
        <f>IF(Raw_Data!H269="","",Raw_Data!H269)</f>
        <v>18573.419999999998</v>
      </c>
      <c r="I269">
        <f>IF(Raw_Data!I269="","",Raw_Data!I269)</f>
        <v>-1380.68</v>
      </c>
      <c r="J269" t="str">
        <f>IF(TRIM(Raw_Data!J269)="","Review",PROPER(TRIM(Raw_Data!J269)))</f>
        <v>Upi</v>
      </c>
      <c r="K269" t="str">
        <f t="shared" si="4"/>
        <v>OK</v>
      </c>
    </row>
    <row r="270" spans="1:11">
      <c r="A270" t="str">
        <f>Raw_Data!A270</f>
        <v>ORD-0269</v>
      </c>
      <c r="B270" t="s">
        <v>501</v>
      </c>
      <c r="C270" t="str">
        <f>PROPER(TRIM(Raw_Data!C270))</f>
        <v>West</v>
      </c>
      <c r="D270" t="str">
        <f>PROPER(TRIM(Raw_Data!D270))</f>
        <v>Home</v>
      </c>
      <c r="E270" t="str">
        <f>PROPER(TRIM(Raw_Data!E270))</f>
        <v>Bedsheet</v>
      </c>
      <c r="F270" t="str">
        <f>IF(TRIM(Raw_Data!F270)="","Review",PROPER(TRIM(Raw_Data!F270)))</f>
        <v>New</v>
      </c>
      <c r="G270">
        <f>Raw_Data!G270</f>
        <v>5</v>
      </c>
      <c r="H270">
        <f>IF(Raw_Data!H270="","",Raw_Data!H270)</f>
        <v>7668.47</v>
      </c>
      <c r="I270">
        <f>IF(Raw_Data!I270="","",Raw_Data!I270)</f>
        <v>-566.15</v>
      </c>
      <c r="J270" t="str">
        <f>IF(TRIM(Raw_Data!J270)="","Review",PROPER(TRIM(Raw_Data!J270)))</f>
        <v>Upi</v>
      </c>
      <c r="K270" t="str">
        <f t="shared" si="4"/>
        <v>OK</v>
      </c>
    </row>
    <row r="271" spans="1:11">
      <c r="A271" t="str">
        <f>Raw_Data!A271</f>
        <v>ORD-0270</v>
      </c>
      <c r="B271" t="s">
        <v>196</v>
      </c>
      <c r="C271" t="str">
        <f>PROPER(TRIM(Raw_Data!C271))</f>
        <v>East</v>
      </c>
      <c r="D271" t="str">
        <f>PROPER(TRIM(Raw_Data!D271))</f>
        <v>Electronics</v>
      </c>
      <c r="E271" t="str">
        <f>PROPER(TRIM(Raw_Data!E271))</f>
        <v>Monitor</v>
      </c>
      <c r="F271" t="str">
        <f>IF(TRIM(Raw_Data!F271)="","Review",PROPER(TRIM(Raw_Data!F271)))</f>
        <v>Existing</v>
      </c>
      <c r="G271">
        <f>Raw_Data!G271</f>
        <v>2</v>
      </c>
      <c r="H271">
        <f>IF(Raw_Data!H271="","",Raw_Data!H271)</f>
        <v>22756.65</v>
      </c>
      <c r="I271">
        <f>IF(Raw_Data!I271="","",Raw_Data!I271)</f>
        <v>3256.96</v>
      </c>
      <c r="J271" t="str">
        <f>IF(TRIM(Raw_Data!J271)="","Review",PROPER(TRIM(Raw_Data!J271)))</f>
        <v>Net Banking</v>
      </c>
      <c r="K271" t="str">
        <f t="shared" si="4"/>
        <v>OK</v>
      </c>
    </row>
    <row r="272" spans="1:11">
      <c r="A272" t="str">
        <f>Raw_Data!A272</f>
        <v>ORD-0271</v>
      </c>
      <c r="B272" t="s">
        <v>268</v>
      </c>
      <c r="C272" t="str">
        <f>PROPER(TRIM(Raw_Data!C272))</f>
        <v>South</v>
      </c>
      <c r="D272" t="str">
        <f>PROPER(TRIM(Raw_Data!D272))</f>
        <v>Electronics</v>
      </c>
      <c r="E272" t="str">
        <f>PROPER(TRIM(Raw_Data!E272))</f>
        <v>Smartphone</v>
      </c>
      <c r="F272" t="str">
        <f>IF(TRIM(Raw_Data!F272)="","Review",PROPER(TRIM(Raw_Data!F272)))</f>
        <v>Existing</v>
      </c>
      <c r="G272">
        <f>Raw_Data!G272</f>
        <v>4</v>
      </c>
      <c r="H272">
        <f>IF(Raw_Data!H272="","",Raw_Data!H272)</f>
        <v>111081.55</v>
      </c>
      <c r="I272">
        <f>IF(Raw_Data!I272="","",Raw_Data!I272)</f>
        <v>839.2</v>
      </c>
      <c r="J272" t="str">
        <f>IF(TRIM(Raw_Data!J272)="","Review",PROPER(TRIM(Raw_Data!J272)))</f>
        <v>Upi</v>
      </c>
      <c r="K272" t="str">
        <f t="shared" si="4"/>
        <v>OK</v>
      </c>
    </row>
    <row r="273" spans="1:11">
      <c r="A273" t="str">
        <f>Raw_Data!A273</f>
        <v>ORD-0272</v>
      </c>
      <c r="B273" t="s">
        <v>505</v>
      </c>
      <c r="C273" t="str">
        <f>PROPER(TRIM(Raw_Data!C273))</f>
        <v>North</v>
      </c>
      <c r="D273" t="str">
        <f>PROPER(TRIM(Raw_Data!D273))</f>
        <v>Home</v>
      </c>
      <c r="E273" t="str">
        <f>PROPER(TRIM(Raw_Data!E273))</f>
        <v>Blender</v>
      </c>
      <c r="F273" t="str">
        <f>IF(TRIM(Raw_Data!F273)="","Review",PROPER(TRIM(Raw_Data!F273)))</f>
        <v>New</v>
      </c>
      <c r="G273">
        <f>Raw_Data!G273</f>
        <v>1</v>
      </c>
      <c r="H273">
        <f>IF(Raw_Data!H273="","",Raw_Data!H273)</f>
        <v>3139.38</v>
      </c>
      <c r="I273">
        <f>IF(Raw_Data!I273="","",Raw_Data!I273)</f>
        <v>175.12</v>
      </c>
      <c r="J273" t="str">
        <f>IF(TRIM(Raw_Data!J273)="","Review",PROPER(TRIM(Raw_Data!J273)))</f>
        <v>Card</v>
      </c>
      <c r="K273" t="str">
        <f t="shared" si="4"/>
        <v>OK</v>
      </c>
    </row>
    <row r="274" spans="1:11">
      <c r="A274" t="str">
        <f>Raw_Data!A274</f>
        <v>ORD-0273</v>
      </c>
      <c r="B274" t="s">
        <v>289</v>
      </c>
      <c r="C274" t="str">
        <f>PROPER(TRIM(Raw_Data!C274))</f>
        <v>North</v>
      </c>
      <c r="D274" t="str">
        <f>PROPER(TRIM(Raw_Data!D274))</f>
        <v>Electronics</v>
      </c>
      <c r="E274" t="str">
        <f>PROPER(TRIM(Raw_Data!E274))</f>
        <v>Keyboard</v>
      </c>
      <c r="F274" t="str">
        <f>IF(TRIM(Raw_Data!F274)="","Review",PROPER(TRIM(Raw_Data!F274)))</f>
        <v>New</v>
      </c>
      <c r="G274">
        <f>Raw_Data!G274</f>
        <v>4</v>
      </c>
      <c r="H274">
        <f>IF(Raw_Data!H274="","",Raw_Data!H274)</f>
        <v>7408.67</v>
      </c>
      <c r="I274">
        <f>IF(Raw_Data!I274="","",Raw_Data!I274)</f>
        <v>290.85000000000002</v>
      </c>
      <c r="J274" t="str">
        <f>IF(TRIM(Raw_Data!J274)="","Review",PROPER(TRIM(Raw_Data!J274)))</f>
        <v>Card</v>
      </c>
      <c r="K274" t="str">
        <f t="shared" si="4"/>
        <v>OK</v>
      </c>
    </row>
    <row r="275" spans="1:11">
      <c r="A275" t="str">
        <f>Raw_Data!A275</f>
        <v>ORD-0274</v>
      </c>
      <c r="B275" t="s">
        <v>508</v>
      </c>
      <c r="C275" t="str">
        <f>PROPER(TRIM(Raw_Data!C275))</f>
        <v>East</v>
      </c>
      <c r="D275" t="str">
        <f>PROPER(TRIM(Raw_Data!D275))</f>
        <v>Home</v>
      </c>
      <c r="E275" t="str">
        <f>PROPER(TRIM(Raw_Data!E275))</f>
        <v>Chair</v>
      </c>
      <c r="F275" t="str">
        <f>IF(TRIM(Raw_Data!F275)="","Review",PROPER(TRIM(Raw_Data!F275)))</f>
        <v>New</v>
      </c>
      <c r="G275">
        <f>Raw_Data!G275</f>
        <v>4</v>
      </c>
      <c r="H275">
        <f>IF(Raw_Data!H275="","",Raw_Data!H275)</f>
        <v>17175.939999999999</v>
      </c>
      <c r="I275">
        <f>IF(Raw_Data!I275="","",Raw_Data!I275)</f>
        <v>4340.3100000000004</v>
      </c>
      <c r="J275" t="str">
        <f>IF(TRIM(Raw_Data!J275)="","Review",PROPER(TRIM(Raw_Data!J275)))</f>
        <v>Card</v>
      </c>
      <c r="K275" t="str">
        <f t="shared" si="4"/>
        <v>OK</v>
      </c>
    </row>
    <row r="276" spans="1:11">
      <c r="A276" t="str">
        <f>Raw_Data!A276</f>
        <v>ORD-0275</v>
      </c>
      <c r="B276" t="s">
        <v>510</v>
      </c>
      <c r="C276" t="str">
        <f>PROPER(TRIM(Raw_Data!C276))</f>
        <v>West</v>
      </c>
      <c r="D276" t="str">
        <f>PROPER(TRIM(Raw_Data!D276))</f>
        <v>Clothing</v>
      </c>
      <c r="E276" t="str">
        <f>PROPER(TRIM(Raw_Data!E276))</f>
        <v>Jacket</v>
      </c>
      <c r="F276" t="str">
        <f>IF(TRIM(Raw_Data!F276)="","Review",PROPER(TRIM(Raw_Data!F276)))</f>
        <v>New</v>
      </c>
      <c r="G276">
        <f>Raw_Data!G276</f>
        <v>2</v>
      </c>
      <c r="H276">
        <f>IF(Raw_Data!H276="","",Raw_Data!H276)</f>
        <v>4476.59</v>
      </c>
      <c r="I276">
        <f>IF(Raw_Data!I276="","",Raw_Data!I276)</f>
        <v>854.19</v>
      </c>
      <c r="J276" t="str">
        <f>IF(TRIM(Raw_Data!J276)="","Review",PROPER(TRIM(Raw_Data!J276)))</f>
        <v>Cash</v>
      </c>
      <c r="K276" t="str">
        <f t="shared" si="4"/>
        <v>OK</v>
      </c>
    </row>
    <row r="277" spans="1:11">
      <c r="A277" t="str">
        <f>Raw_Data!A277</f>
        <v>ORD-0276</v>
      </c>
      <c r="B277" t="s">
        <v>512</v>
      </c>
      <c r="C277" t="str">
        <f>PROPER(TRIM(Raw_Data!C277))</f>
        <v>East</v>
      </c>
      <c r="D277" t="str">
        <f>PROPER(TRIM(Raw_Data!D277))</f>
        <v>Electronics</v>
      </c>
      <c r="E277" t="str">
        <f>PROPER(TRIM(Raw_Data!E277))</f>
        <v>Monitor</v>
      </c>
      <c r="F277" t="str">
        <f>IF(TRIM(Raw_Data!F277)="","Review",PROPER(TRIM(Raw_Data!F277)))</f>
        <v>Existing</v>
      </c>
      <c r="G277">
        <f>Raw_Data!G277</f>
        <v>2</v>
      </c>
      <c r="H277">
        <f>IF(Raw_Data!H277="","",Raw_Data!H277)</f>
        <v>24320.14</v>
      </c>
      <c r="I277">
        <f>IF(Raw_Data!I277="","",Raw_Data!I277)</f>
        <v>5491.47</v>
      </c>
      <c r="J277" t="str">
        <f>IF(TRIM(Raw_Data!J277)="","Review",PROPER(TRIM(Raw_Data!J277)))</f>
        <v>Card</v>
      </c>
      <c r="K277" t="str">
        <f t="shared" si="4"/>
        <v>OK</v>
      </c>
    </row>
    <row r="278" spans="1:11">
      <c r="A278" t="str">
        <f>Raw_Data!A278</f>
        <v>ORD-0277</v>
      </c>
      <c r="B278" t="s">
        <v>514</v>
      </c>
      <c r="C278" t="str">
        <f>PROPER(TRIM(Raw_Data!C278))</f>
        <v>West</v>
      </c>
      <c r="D278" t="str">
        <f>PROPER(TRIM(Raw_Data!D278))</f>
        <v>Home</v>
      </c>
      <c r="E278" t="str">
        <f>PROPER(TRIM(Raw_Data!E278))</f>
        <v>Blender</v>
      </c>
      <c r="F278" t="str">
        <f>IF(TRIM(Raw_Data!F278)="","Review",PROPER(TRIM(Raw_Data!F278)))</f>
        <v>New</v>
      </c>
      <c r="G278">
        <f>Raw_Data!G278</f>
        <v>5</v>
      </c>
      <c r="H278">
        <f>IF(Raw_Data!H278="","",Raw_Data!H278)</f>
        <v>16785.46</v>
      </c>
      <c r="I278">
        <f>IF(Raw_Data!I278="","",Raw_Data!I278)</f>
        <v>747.11</v>
      </c>
      <c r="J278" t="str">
        <f>IF(TRIM(Raw_Data!J278)="","Review",PROPER(TRIM(Raw_Data!J278)))</f>
        <v>Upi</v>
      </c>
      <c r="K278" t="str">
        <f t="shared" si="4"/>
        <v>OK</v>
      </c>
    </row>
    <row r="279" spans="1:11">
      <c r="A279" t="str">
        <f>Raw_Data!A279</f>
        <v>ORD-0278</v>
      </c>
      <c r="B279" t="s">
        <v>377</v>
      </c>
      <c r="C279" t="str">
        <f>PROPER(TRIM(Raw_Data!C279))</f>
        <v>North</v>
      </c>
      <c r="D279" t="str">
        <f>PROPER(TRIM(Raw_Data!D279))</f>
        <v>Clothing</v>
      </c>
      <c r="E279" t="str">
        <f>PROPER(TRIM(Raw_Data!E279))</f>
        <v>Dress</v>
      </c>
      <c r="F279" t="str">
        <f>IF(TRIM(Raw_Data!F279)="","Review",PROPER(TRIM(Raw_Data!F279)))</f>
        <v>Existing</v>
      </c>
      <c r="G279">
        <f>Raw_Data!G279</f>
        <v>5</v>
      </c>
      <c r="H279">
        <f>IF(Raw_Data!H279="","",Raw_Data!H279)</f>
        <v>10364.23</v>
      </c>
      <c r="I279">
        <f>IF(Raw_Data!I279="","",Raw_Data!I279)</f>
        <v>651.01</v>
      </c>
      <c r="J279" t="str">
        <f>IF(TRIM(Raw_Data!J279)="","Review",PROPER(TRIM(Raw_Data!J279)))</f>
        <v>Net Banking</v>
      </c>
      <c r="K279" t="str">
        <f t="shared" si="4"/>
        <v>OK</v>
      </c>
    </row>
    <row r="280" spans="1:11">
      <c r="A280" t="str">
        <f>Raw_Data!A280</f>
        <v>ORD-0279</v>
      </c>
      <c r="B280" t="s">
        <v>517</v>
      </c>
      <c r="C280" t="str">
        <f>PROPER(TRIM(Raw_Data!C280))</f>
        <v>West</v>
      </c>
      <c r="D280" t="str">
        <f>PROPER(TRIM(Raw_Data!D280))</f>
        <v>Clothing</v>
      </c>
      <c r="E280" t="str">
        <f>PROPER(TRIM(Raw_Data!E280))</f>
        <v>T-Shirt</v>
      </c>
      <c r="F280" t="str">
        <f>IF(TRIM(Raw_Data!F280)="","Review",PROPER(TRIM(Raw_Data!F280)))</f>
        <v>New</v>
      </c>
      <c r="G280">
        <f>Raw_Data!G280</f>
        <v>3</v>
      </c>
      <c r="H280">
        <f>IF(Raw_Data!H280="","",Raw_Data!H280)</f>
        <v>2122.2800000000002</v>
      </c>
      <c r="I280">
        <f>IF(Raw_Data!I280="","",Raw_Data!I280)</f>
        <v>117.05</v>
      </c>
      <c r="J280" t="str">
        <f>IF(TRIM(Raw_Data!J280)="","Review",PROPER(TRIM(Raw_Data!J280)))</f>
        <v>Cash</v>
      </c>
      <c r="K280" t="str">
        <f t="shared" si="4"/>
        <v>OK</v>
      </c>
    </row>
    <row r="281" spans="1:11">
      <c r="A281" t="str">
        <f>Raw_Data!A281</f>
        <v>ORD-0280</v>
      </c>
      <c r="B281" t="s">
        <v>519</v>
      </c>
      <c r="C281" t="str">
        <f>PROPER(TRIM(Raw_Data!C281))</f>
        <v>South</v>
      </c>
      <c r="D281" t="str">
        <f>PROPER(TRIM(Raw_Data!D281))</f>
        <v>Electronics</v>
      </c>
      <c r="E281" t="str">
        <f>PROPER(TRIM(Raw_Data!E281))</f>
        <v>Laptop</v>
      </c>
      <c r="F281" t="str">
        <f>IF(TRIM(Raw_Data!F281)="","Review",PROPER(TRIM(Raw_Data!F281)))</f>
        <v>Existing</v>
      </c>
      <c r="G281">
        <f>Raw_Data!G281</f>
        <v>1</v>
      </c>
      <c r="H281">
        <f>IF(Raw_Data!H281="","",Raw_Data!H281)</f>
        <v>49586.91</v>
      </c>
      <c r="I281">
        <f>IF(Raw_Data!I281="","",Raw_Data!I281)</f>
        <v>2816.54</v>
      </c>
      <c r="J281" t="str">
        <f>IF(TRIM(Raw_Data!J281)="","Review",PROPER(TRIM(Raw_Data!J281)))</f>
        <v>Cash</v>
      </c>
      <c r="K281" t="str">
        <f t="shared" si="4"/>
        <v>OK</v>
      </c>
    </row>
    <row r="282" spans="1:11">
      <c r="A282" t="str">
        <f>Raw_Data!A282</f>
        <v>ORD-0281</v>
      </c>
      <c r="B282" t="s">
        <v>521</v>
      </c>
      <c r="C282" t="str">
        <f>PROPER(TRIM(Raw_Data!C282))</f>
        <v>East</v>
      </c>
      <c r="D282" t="str">
        <f>PROPER(TRIM(Raw_Data!D282))</f>
        <v>Clothing</v>
      </c>
      <c r="E282" t="str">
        <f>PROPER(TRIM(Raw_Data!E282))</f>
        <v>Jacket</v>
      </c>
      <c r="F282" t="str">
        <f>IF(TRIM(Raw_Data!F282)="","Review",PROPER(TRIM(Raw_Data!F282)))</f>
        <v>New</v>
      </c>
      <c r="G282">
        <f>Raw_Data!G282</f>
        <v>1</v>
      </c>
      <c r="H282">
        <f>IF(Raw_Data!H282="","",Raw_Data!H282)</f>
        <v>1982.29</v>
      </c>
      <c r="I282">
        <f>IF(Raw_Data!I282="","",Raw_Data!I282)</f>
        <v>61.4</v>
      </c>
      <c r="J282" t="str">
        <f>IF(TRIM(Raw_Data!J282)="","Review",PROPER(TRIM(Raw_Data!J282)))</f>
        <v>Card</v>
      </c>
      <c r="K282" t="str">
        <f t="shared" si="4"/>
        <v>OK</v>
      </c>
    </row>
    <row r="283" spans="1:11">
      <c r="A283" t="str">
        <f>Raw_Data!A283</f>
        <v>ORD-0282</v>
      </c>
      <c r="B283" t="s">
        <v>114</v>
      </c>
      <c r="C283" t="str">
        <f>PROPER(TRIM(Raw_Data!C283))</f>
        <v>North</v>
      </c>
      <c r="D283" t="str">
        <f>PROPER(TRIM(Raw_Data!D283))</f>
        <v>Electronics</v>
      </c>
      <c r="E283" t="str">
        <f>PROPER(TRIM(Raw_Data!E283))</f>
        <v>Headphones</v>
      </c>
      <c r="F283" t="str">
        <f>IF(TRIM(Raw_Data!F283)="","Review",PROPER(TRIM(Raw_Data!F283)))</f>
        <v>New</v>
      </c>
      <c r="G283">
        <f>Raw_Data!G283</f>
        <v>4</v>
      </c>
      <c r="H283">
        <f>IF(Raw_Data!H283="","",Raw_Data!H283)</f>
        <v>9897.69</v>
      </c>
      <c r="I283">
        <f>IF(Raw_Data!I283="","",Raw_Data!I283)</f>
        <v>1184.82</v>
      </c>
      <c r="J283" t="str">
        <f>IF(TRIM(Raw_Data!J283)="","Review",PROPER(TRIM(Raw_Data!J283)))</f>
        <v>Upi</v>
      </c>
      <c r="K283" t="str">
        <f t="shared" si="4"/>
        <v>OK</v>
      </c>
    </row>
    <row r="284" spans="1:11">
      <c r="A284" t="str">
        <f>Raw_Data!A284</f>
        <v>ORD-0283</v>
      </c>
      <c r="B284" t="s">
        <v>373</v>
      </c>
      <c r="C284" t="str">
        <f>PROPER(TRIM(Raw_Data!C284))</f>
        <v>North</v>
      </c>
      <c r="D284" t="str">
        <f>PROPER(TRIM(Raw_Data!D284))</f>
        <v>Clothing</v>
      </c>
      <c r="E284" t="str">
        <f>PROPER(TRIM(Raw_Data!E284))</f>
        <v>Dress</v>
      </c>
      <c r="F284" t="str">
        <f>IF(TRIM(Raw_Data!F284)="","Review",PROPER(TRIM(Raw_Data!F284)))</f>
        <v>Existing</v>
      </c>
      <c r="G284">
        <f>Raw_Data!G284</f>
        <v>1</v>
      </c>
      <c r="H284">
        <f>IF(Raw_Data!H284="","",Raw_Data!H284)</f>
        <v>1936.83</v>
      </c>
      <c r="I284">
        <f>IF(Raw_Data!I284="","",Raw_Data!I284)</f>
        <v>392.01</v>
      </c>
      <c r="J284" t="str">
        <f>IF(TRIM(Raw_Data!J284)="","Review",PROPER(TRIM(Raw_Data!J284)))</f>
        <v>Net Banking</v>
      </c>
      <c r="K284" t="str">
        <f t="shared" si="4"/>
        <v>OK</v>
      </c>
    </row>
    <row r="285" spans="1:11">
      <c r="A285" t="str">
        <f>Raw_Data!A285</f>
        <v>ORD-0284</v>
      </c>
      <c r="B285" t="s">
        <v>73</v>
      </c>
      <c r="C285" t="str">
        <f>PROPER(TRIM(Raw_Data!C285))</f>
        <v>South</v>
      </c>
      <c r="D285" t="str">
        <f>PROPER(TRIM(Raw_Data!D285))</f>
        <v>Clothing</v>
      </c>
      <c r="E285" t="str">
        <f>PROPER(TRIM(Raw_Data!E285))</f>
        <v>Jacket</v>
      </c>
      <c r="F285" t="str">
        <f>IF(TRIM(Raw_Data!F285)="","Review",PROPER(TRIM(Raw_Data!F285)))</f>
        <v>Existing</v>
      </c>
      <c r="G285">
        <f>Raw_Data!G285</f>
        <v>5</v>
      </c>
      <c r="H285">
        <f>IF(Raw_Data!H285="","",Raw_Data!H285)</f>
        <v>11891.46</v>
      </c>
      <c r="I285">
        <f>IF(Raw_Data!I285="","",Raw_Data!I285)</f>
        <v>3236.17</v>
      </c>
      <c r="J285" t="str">
        <f>IF(TRIM(Raw_Data!J285)="","Review",PROPER(TRIM(Raw_Data!J285)))</f>
        <v>Card</v>
      </c>
      <c r="K285" t="str">
        <f t="shared" si="4"/>
        <v>OK</v>
      </c>
    </row>
    <row r="286" spans="1:11">
      <c r="A286" t="str">
        <f>Raw_Data!A286</f>
        <v>ORD-0285</v>
      </c>
      <c r="B286" t="s">
        <v>526</v>
      </c>
      <c r="C286" t="str">
        <f>PROPER(TRIM(Raw_Data!C286))</f>
        <v>West</v>
      </c>
      <c r="D286" t="str">
        <f>PROPER(TRIM(Raw_Data!D286))</f>
        <v>Electronics</v>
      </c>
      <c r="E286" t="str">
        <f>PROPER(TRIM(Raw_Data!E286))</f>
        <v>Smartphone</v>
      </c>
      <c r="F286" t="str">
        <f>IF(TRIM(Raw_Data!F286)="","Review",PROPER(TRIM(Raw_Data!F286)))</f>
        <v>Existing</v>
      </c>
      <c r="G286">
        <f>Raw_Data!G286</f>
        <v>3</v>
      </c>
      <c r="H286">
        <f>IF(Raw_Data!H286="","",Raw_Data!H286)</f>
        <v>80109.23</v>
      </c>
      <c r="I286">
        <f>IF(Raw_Data!I286="","",Raw_Data!I286)</f>
        <v>-2200.08</v>
      </c>
      <c r="J286" t="str">
        <f>IF(TRIM(Raw_Data!J286)="","Review",PROPER(TRIM(Raw_Data!J286)))</f>
        <v>Net Banking</v>
      </c>
      <c r="K286" t="str">
        <f t="shared" si="4"/>
        <v>OK</v>
      </c>
    </row>
    <row r="287" spans="1:11">
      <c r="A287" t="str">
        <f>Raw_Data!A287</f>
        <v>ORD-0286</v>
      </c>
      <c r="B287" t="s">
        <v>528</v>
      </c>
      <c r="C287" t="str">
        <f>PROPER(TRIM(Raw_Data!C287))</f>
        <v>West</v>
      </c>
      <c r="D287" t="str">
        <f>PROPER(TRIM(Raw_Data!D287))</f>
        <v>Clothing</v>
      </c>
      <c r="E287" t="str">
        <f>PROPER(TRIM(Raw_Data!E287))</f>
        <v>Sneakers</v>
      </c>
      <c r="F287" t="str">
        <f>IF(TRIM(Raw_Data!F287)="","Review",PROPER(TRIM(Raw_Data!F287)))</f>
        <v>New</v>
      </c>
      <c r="G287">
        <f>Raw_Data!G287</f>
        <v>1</v>
      </c>
      <c r="H287">
        <f>IF(Raw_Data!H287="","",Raw_Data!H287)</f>
        <v>3402.79</v>
      </c>
      <c r="I287">
        <f>IF(Raw_Data!I287="","",Raw_Data!I287)</f>
        <v>884.45</v>
      </c>
      <c r="J287" t="str">
        <f>IF(TRIM(Raw_Data!J287)="","Review",PROPER(TRIM(Raw_Data!J287)))</f>
        <v>Net Banking</v>
      </c>
      <c r="K287" t="str">
        <f t="shared" si="4"/>
        <v>OK</v>
      </c>
    </row>
    <row r="288" spans="1:11">
      <c r="A288" t="str">
        <f>Raw_Data!A288</f>
        <v>ORD-0287</v>
      </c>
      <c r="B288" t="s">
        <v>202</v>
      </c>
      <c r="C288" t="str">
        <f>PROPER(TRIM(Raw_Data!C288))</f>
        <v>West</v>
      </c>
      <c r="D288" t="str">
        <f>PROPER(TRIM(Raw_Data!D288))</f>
        <v>Electronics</v>
      </c>
      <c r="E288" t="str">
        <f>PROPER(TRIM(Raw_Data!E288))</f>
        <v>Headphones</v>
      </c>
      <c r="F288" t="str">
        <f>IF(TRIM(Raw_Data!F288)="","Review",PROPER(TRIM(Raw_Data!F288)))</f>
        <v>Existing</v>
      </c>
      <c r="G288">
        <f>Raw_Data!G288</f>
        <v>3</v>
      </c>
      <c r="H288">
        <f>IF(Raw_Data!H288="","",Raw_Data!H288)</f>
        <v>6760.15</v>
      </c>
      <c r="I288">
        <f>IF(Raw_Data!I288="","",Raw_Data!I288)</f>
        <v>422.17</v>
      </c>
      <c r="J288" t="str">
        <f>IF(TRIM(Raw_Data!J288)="","Review",PROPER(TRIM(Raw_Data!J288)))</f>
        <v>Net Banking</v>
      </c>
      <c r="K288" t="str">
        <f t="shared" si="4"/>
        <v>OK</v>
      </c>
    </row>
    <row r="289" spans="1:11">
      <c r="A289" t="str">
        <f>Raw_Data!A289</f>
        <v>ORD-0288</v>
      </c>
      <c r="B289" t="s">
        <v>531</v>
      </c>
      <c r="C289" t="str">
        <f>PROPER(TRIM(Raw_Data!C289))</f>
        <v>South</v>
      </c>
      <c r="D289" t="str">
        <f>PROPER(TRIM(Raw_Data!D289))</f>
        <v>Clothing</v>
      </c>
      <c r="E289" t="str">
        <f>PROPER(TRIM(Raw_Data!E289))</f>
        <v>Sneakers</v>
      </c>
      <c r="F289" t="str">
        <f>IF(TRIM(Raw_Data!F289)="","Review",PROPER(TRIM(Raw_Data!F289)))</f>
        <v>Existing</v>
      </c>
      <c r="G289">
        <f>Raw_Data!G289</f>
        <v>5</v>
      </c>
      <c r="H289">
        <f>IF(Raw_Data!H289="","",Raw_Data!H289)</f>
        <v>16226.44</v>
      </c>
      <c r="I289">
        <f>IF(Raw_Data!I289="","",Raw_Data!I289)</f>
        <v>575.05999999999995</v>
      </c>
      <c r="J289" t="str">
        <f>IF(TRIM(Raw_Data!J289)="","Review",PROPER(TRIM(Raw_Data!J289)))</f>
        <v>Cash</v>
      </c>
      <c r="K289" t="str">
        <f t="shared" si="4"/>
        <v>OK</v>
      </c>
    </row>
    <row r="290" spans="1:11">
      <c r="A290" t="str">
        <f>Raw_Data!A290</f>
        <v>ORD-0289</v>
      </c>
      <c r="B290" t="s">
        <v>194</v>
      </c>
      <c r="C290" t="str">
        <f>PROPER(TRIM(Raw_Data!C290))</f>
        <v>South</v>
      </c>
      <c r="D290" t="str">
        <f>PROPER(TRIM(Raw_Data!D290))</f>
        <v>Electronics</v>
      </c>
      <c r="E290" t="str">
        <f>PROPER(TRIM(Raw_Data!E290))</f>
        <v>Keyboard</v>
      </c>
      <c r="F290" t="str">
        <f>IF(TRIM(Raw_Data!F290)="","Review",PROPER(TRIM(Raw_Data!F290)))</f>
        <v>Existing</v>
      </c>
      <c r="G290">
        <f>Raw_Data!G290</f>
        <v>3</v>
      </c>
      <c r="H290">
        <f>IF(Raw_Data!H290="","",Raw_Data!H290)</f>
        <v>5174.76</v>
      </c>
      <c r="I290">
        <f>IF(Raw_Data!I290="","",Raw_Data!I290)</f>
        <v>880.67</v>
      </c>
      <c r="J290" t="str">
        <f>IF(TRIM(Raw_Data!J290)="","Review",PROPER(TRIM(Raw_Data!J290)))</f>
        <v>Net Banking</v>
      </c>
      <c r="K290" t="str">
        <f t="shared" si="4"/>
        <v>OK</v>
      </c>
    </row>
    <row r="291" spans="1:11">
      <c r="A291" t="str">
        <f>Raw_Data!A291</f>
        <v>ORD-0290</v>
      </c>
      <c r="B291" t="s">
        <v>170</v>
      </c>
      <c r="C291" t="str">
        <f>PROPER(TRIM(Raw_Data!C291))</f>
        <v>South</v>
      </c>
      <c r="D291" t="str">
        <f>PROPER(TRIM(Raw_Data!D291))</f>
        <v>Clothing</v>
      </c>
      <c r="E291" t="str">
        <f>PROPER(TRIM(Raw_Data!E291))</f>
        <v>Sneakers</v>
      </c>
      <c r="F291" t="str">
        <f>IF(TRIM(Raw_Data!F291)="","Review",PROPER(TRIM(Raw_Data!F291)))</f>
        <v>New</v>
      </c>
      <c r="G291">
        <f>Raw_Data!G291</f>
        <v>3</v>
      </c>
      <c r="H291">
        <f>IF(Raw_Data!H291="","",Raw_Data!H291)</f>
        <v>9689.16</v>
      </c>
      <c r="I291">
        <f>IF(Raw_Data!I291="","",Raw_Data!I291)</f>
        <v>1191.6300000000001</v>
      </c>
      <c r="J291" t="str">
        <f>IF(TRIM(Raw_Data!J291)="","Review",PROPER(TRIM(Raw_Data!J291)))</f>
        <v>Net Banking</v>
      </c>
      <c r="K291" t="str">
        <f t="shared" si="4"/>
        <v>OK</v>
      </c>
    </row>
    <row r="292" spans="1:11">
      <c r="A292" t="str">
        <f>Raw_Data!A292</f>
        <v>ORD-0291</v>
      </c>
      <c r="B292" t="s">
        <v>462</v>
      </c>
      <c r="C292" t="str">
        <f>PROPER(TRIM(Raw_Data!C292))</f>
        <v>West</v>
      </c>
      <c r="D292" t="str">
        <f>PROPER(TRIM(Raw_Data!D292))</f>
        <v>Home</v>
      </c>
      <c r="E292" t="str">
        <f>PROPER(TRIM(Raw_Data!E292))</f>
        <v>Desk Lamp</v>
      </c>
      <c r="F292" t="str">
        <f>IF(TRIM(Raw_Data!F292)="","Review",PROPER(TRIM(Raw_Data!F292)))</f>
        <v>Existing</v>
      </c>
      <c r="G292">
        <f>Raw_Data!G292</f>
        <v>4</v>
      </c>
      <c r="H292">
        <f>IF(Raw_Data!H292="","",Raw_Data!H292)</f>
        <v>3814.33</v>
      </c>
      <c r="I292">
        <f>IF(Raw_Data!I292="","",Raw_Data!I292)</f>
        <v>836.34</v>
      </c>
      <c r="J292" t="str">
        <f>IF(TRIM(Raw_Data!J292)="","Review",PROPER(TRIM(Raw_Data!J292)))</f>
        <v>Card</v>
      </c>
      <c r="K292" t="str">
        <f t="shared" si="4"/>
        <v>OK</v>
      </c>
    </row>
    <row r="293" spans="1:11">
      <c r="A293" t="str">
        <f>Raw_Data!A293</f>
        <v>ORD-0292</v>
      </c>
      <c r="B293" t="s">
        <v>75</v>
      </c>
      <c r="C293" t="str">
        <f>PROPER(TRIM(Raw_Data!C293))</f>
        <v>West</v>
      </c>
      <c r="D293" t="str">
        <f>PROPER(TRIM(Raw_Data!D293))</f>
        <v>Home</v>
      </c>
      <c r="E293" t="str">
        <f>PROPER(TRIM(Raw_Data!E293))</f>
        <v>Bedsheet</v>
      </c>
      <c r="F293" t="str">
        <f>IF(TRIM(Raw_Data!F293)="","Review",PROPER(TRIM(Raw_Data!F293)))</f>
        <v>New</v>
      </c>
      <c r="G293">
        <f>Raw_Data!G293</f>
        <v>2</v>
      </c>
      <c r="H293">
        <f>IF(Raw_Data!H293="","",Raw_Data!H293)</f>
        <v>2661.5</v>
      </c>
      <c r="I293">
        <f>IF(Raw_Data!I293="","",Raw_Data!I293)</f>
        <v>-65.23</v>
      </c>
      <c r="J293" t="str">
        <f>IF(TRIM(Raw_Data!J293)="","Review",PROPER(TRIM(Raw_Data!J293)))</f>
        <v>Net Banking</v>
      </c>
      <c r="K293" t="str">
        <f t="shared" si="4"/>
        <v>OK</v>
      </c>
    </row>
    <row r="294" spans="1:11">
      <c r="A294" t="str">
        <f>Raw_Data!A294</f>
        <v>ORD-0293</v>
      </c>
      <c r="B294" t="s">
        <v>537</v>
      </c>
      <c r="C294" t="str">
        <f>PROPER(TRIM(Raw_Data!C294))</f>
        <v>West</v>
      </c>
      <c r="D294" t="str">
        <f>PROPER(TRIM(Raw_Data!D294))</f>
        <v>Home</v>
      </c>
      <c r="E294" t="str">
        <f>PROPER(TRIM(Raw_Data!E294))</f>
        <v>Cookware Set</v>
      </c>
      <c r="F294" t="str">
        <f>IF(TRIM(Raw_Data!F294)="","Review",PROPER(TRIM(Raw_Data!F294)))</f>
        <v>New</v>
      </c>
      <c r="G294">
        <f>Raw_Data!G294</f>
        <v>5</v>
      </c>
      <c r="H294">
        <f>IF(Raw_Data!H294="","",Raw_Data!H294)</f>
        <v>13722.25</v>
      </c>
      <c r="I294">
        <f>IF(Raw_Data!I294="","",Raw_Data!I294)</f>
        <v>1404.89</v>
      </c>
      <c r="J294" t="str">
        <f>IF(TRIM(Raw_Data!J294)="","Review",PROPER(TRIM(Raw_Data!J294)))</f>
        <v>Cash</v>
      </c>
      <c r="K294" t="str">
        <f t="shared" si="4"/>
        <v>OK</v>
      </c>
    </row>
    <row r="295" spans="1:11">
      <c r="A295" t="str">
        <f>Raw_Data!A295</f>
        <v>ORD-0294</v>
      </c>
      <c r="B295" t="s">
        <v>79</v>
      </c>
      <c r="C295" t="str">
        <f>PROPER(TRIM(Raw_Data!C295))</f>
        <v>East</v>
      </c>
      <c r="D295" t="str">
        <f>PROPER(TRIM(Raw_Data!D295))</f>
        <v>Home</v>
      </c>
      <c r="E295" t="str">
        <f>PROPER(TRIM(Raw_Data!E295))</f>
        <v>Chair</v>
      </c>
      <c r="F295" t="str">
        <f>IF(TRIM(Raw_Data!F295)="","Review",PROPER(TRIM(Raw_Data!F295)))</f>
        <v>New</v>
      </c>
      <c r="G295">
        <f>Raw_Data!G295</f>
        <v>5</v>
      </c>
      <c r="H295">
        <f>IF(Raw_Data!H295="","",Raw_Data!H295)</f>
        <v>23121.81</v>
      </c>
      <c r="I295">
        <f>IF(Raw_Data!I295="","",Raw_Data!I295)</f>
        <v>-1142.3699999999999</v>
      </c>
      <c r="J295" t="str">
        <f>IF(TRIM(Raw_Data!J295)="","Review",PROPER(TRIM(Raw_Data!J295)))</f>
        <v>Upi</v>
      </c>
      <c r="K295" t="str">
        <f t="shared" si="4"/>
        <v>OK</v>
      </c>
    </row>
    <row r="296" spans="1:11">
      <c r="A296" t="str">
        <f>Raw_Data!A296</f>
        <v>ORD-0295</v>
      </c>
      <c r="B296" t="s">
        <v>540</v>
      </c>
      <c r="C296" t="str">
        <f>PROPER(TRIM(Raw_Data!C296))</f>
        <v>North</v>
      </c>
      <c r="D296" t="str">
        <f>PROPER(TRIM(Raw_Data!D296))</f>
        <v>Home</v>
      </c>
      <c r="E296" t="str">
        <f>PROPER(TRIM(Raw_Data!E296))</f>
        <v>Cookware Set</v>
      </c>
      <c r="F296" t="str">
        <f>IF(TRIM(Raw_Data!F296)="","Review",PROPER(TRIM(Raw_Data!F296)))</f>
        <v>Existing</v>
      </c>
      <c r="G296">
        <f>Raw_Data!G296</f>
        <v>3</v>
      </c>
      <c r="H296">
        <f>IF(Raw_Data!H296="","",Raw_Data!H296)</f>
        <v>9182.4</v>
      </c>
      <c r="I296">
        <f>IF(Raw_Data!I296="","",Raw_Data!I296)</f>
        <v>688.35</v>
      </c>
      <c r="J296" t="str">
        <f>IF(TRIM(Raw_Data!J296)="","Review",PROPER(TRIM(Raw_Data!J296)))</f>
        <v>Card</v>
      </c>
      <c r="K296" t="str">
        <f t="shared" si="4"/>
        <v>OK</v>
      </c>
    </row>
    <row r="297" spans="1:11">
      <c r="A297" t="str">
        <f>Raw_Data!A297</f>
        <v>ORD-0296</v>
      </c>
      <c r="B297" t="s">
        <v>542</v>
      </c>
      <c r="C297" t="str">
        <f>PROPER(TRIM(Raw_Data!C297))</f>
        <v>East</v>
      </c>
      <c r="D297" t="str">
        <f>PROPER(TRIM(Raw_Data!D297))</f>
        <v>Home</v>
      </c>
      <c r="E297" t="str">
        <f>PROPER(TRIM(Raw_Data!E297))</f>
        <v>Chair</v>
      </c>
      <c r="F297" t="str">
        <f>IF(TRIM(Raw_Data!F297)="","Review",PROPER(TRIM(Raw_Data!F297)))</f>
        <v>Existing</v>
      </c>
      <c r="G297">
        <f>Raw_Data!G297</f>
        <v>5</v>
      </c>
      <c r="H297">
        <f>IF(Raw_Data!H297="","",Raw_Data!H297)</f>
        <v>22862.33</v>
      </c>
      <c r="I297">
        <f>IF(Raw_Data!I297="","",Raw_Data!I297)</f>
        <v>2905.45</v>
      </c>
      <c r="J297" t="str">
        <f>IF(TRIM(Raw_Data!J297)="","Review",PROPER(TRIM(Raw_Data!J297)))</f>
        <v>Net Banking</v>
      </c>
      <c r="K297" t="str">
        <f t="shared" si="4"/>
        <v>OK</v>
      </c>
    </row>
    <row r="298" spans="1:11">
      <c r="A298" t="str">
        <f>Raw_Data!A298</f>
        <v>ORD-0297</v>
      </c>
      <c r="B298" t="s">
        <v>544</v>
      </c>
      <c r="C298" t="str">
        <f>PROPER(TRIM(Raw_Data!C298))</f>
        <v>North</v>
      </c>
      <c r="D298" t="str">
        <f>PROPER(TRIM(Raw_Data!D298))</f>
        <v>Home</v>
      </c>
      <c r="E298" t="str">
        <f>PROPER(TRIM(Raw_Data!E298))</f>
        <v>Chair</v>
      </c>
      <c r="F298" t="str">
        <f>IF(TRIM(Raw_Data!F298)="","Review",PROPER(TRIM(Raw_Data!F298)))</f>
        <v>Existing</v>
      </c>
      <c r="G298">
        <f>Raw_Data!G298</f>
        <v>5</v>
      </c>
      <c r="H298">
        <f>IF(Raw_Data!H298="","",Raw_Data!H298)</f>
        <v>20928.349999999999</v>
      </c>
      <c r="I298">
        <f>IF(Raw_Data!I298="","",Raw_Data!I298)</f>
        <v>5842.63</v>
      </c>
      <c r="J298" t="str">
        <f>IF(TRIM(Raw_Data!J298)="","Review",PROPER(TRIM(Raw_Data!J298)))</f>
        <v>Net Banking</v>
      </c>
      <c r="K298" t="str">
        <f t="shared" si="4"/>
        <v>OK</v>
      </c>
    </row>
    <row r="299" spans="1:11">
      <c r="A299" t="str">
        <f>Raw_Data!A299</f>
        <v>ORD-0298</v>
      </c>
      <c r="B299" t="s">
        <v>276</v>
      </c>
      <c r="C299" t="str">
        <f>PROPER(TRIM(Raw_Data!C299))</f>
        <v>West</v>
      </c>
      <c r="D299" t="str">
        <f>PROPER(TRIM(Raw_Data!D299))</f>
        <v>Electronics</v>
      </c>
      <c r="E299" t="str">
        <f>PROPER(TRIM(Raw_Data!E299))</f>
        <v>Laptop</v>
      </c>
      <c r="F299" t="str">
        <f>IF(TRIM(Raw_Data!F299)="","Review",PROPER(TRIM(Raw_Data!F299)))</f>
        <v>Existing</v>
      </c>
      <c r="G299">
        <f>Raw_Data!G299</f>
        <v>2</v>
      </c>
      <c r="H299">
        <f>IF(Raw_Data!H299="","",Raw_Data!H299)</f>
        <v>100845.24</v>
      </c>
      <c r="I299">
        <f>IF(Raw_Data!I299="","",Raw_Data!I299)</f>
        <v>4387.17</v>
      </c>
      <c r="J299" t="str">
        <f>IF(TRIM(Raw_Data!J299)="","Review",PROPER(TRIM(Raw_Data!J299)))</f>
        <v>Net Banking</v>
      </c>
      <c r="K299" t="str">
        <f t="shared" si="4"/>
        <v>OK</v>
      </c>
    </row>
    <row r="300" spans="1:11">
      <c r="A300" t="str">
        <f>Raw_Data!A300</f>
        <v>ORD-0299</v>
      </c>
      <c r="B300" t="s">
        <v>547</v>
      </c>
      <c r="C300" t="str">
        <f>PROPER(TRIM(Raw_Data!C300))</f>
        <v>North</v>
      </c>
      <c r="D300" t="str">
        <f>PROPER(TRIM(Raw_Data!D300))</f>
        <v>Electronics</v>
      </c>
      <c r="E300" t="str">
        <f>PROPER(TRIM(Raw_Data!E300))</f>
        <v>Keyboard</v>
      </c>
      <c r="F300" t="str">
        <f>IF(TRIM(Raw_Data!F300)="","Review",PROPER(TRIM(Raw_Data!F300)))</f>
        <v>New</v>
      </c>
      <c r="G300">
        <f>Raw_Data!G300</f>
        <v>4</v>
      </c>
      <c r="H300">
        <f>IF(Raw_Data!H300="","",Raw_Data!H300)</f>
        <v>6939.23</v>
      </c>
      <c r="I300">
        <f>IF(Raw_Data!I300="","",Raw_Data!I300)</f>
        <v>194.96</v>
      </c>
      <c r="J300" t="str">
        <f>IF(TRIM(Raw_Data!J300)="","Review",PROPER(TRIM(Raw_Data!J300)))</f>
        <v>Cash</v>
      </c>
      <c r="K300" t="str">
        <f t="shared" si="4"/>
        <v>OK</v>
      </c>
    </row>
    <row r="301" spans="1:11">
      <c r="A301" t="str">
        <f>Raw_Data!A301</f>
        <v>ORD-0300</v>
      </c>
      <c r="B301" t="s">
        <v>344</v>
      </c>
      <c r="C301" t="str">
        <f>PROPER(TRIM(Raw_Data!C301))</f>
        <v>South</v>
      </c>
      <c r="D301" t="str">
        <f>PROPER(TRIM(Raw_Data!D301))</f>
        <v>Home</v>
      </c>
      <c r="E301" t="str">
        <f>PROPER(TRIM(Raw_Data!E301))</f>
        <v>Blender</v>
      </c>
      <c r="F301" t="str">
        <f>IF(TRIM(Raw_Data!F301)="","Review",PROPER(TRIM(Raw_Data!F301)))</f>
        <v>New</v>
      </c>
      <c r="G301">
        <f>Raw_Data!G301</f>
        <v>2</v>
      </c>
      <c r="H301">
        <f>IF(Raw_Data!H301="","",Raw_Data!H301)</f>
        <v>6950.3</v>
      </c>
      <c r="I301">
        <f>IF(Raw_Data!I301="","",Raw_Data!I301)</f>
        <v>1296.76</v>
      </c>
      <c r="J301" t="str">
        <f>IF(TRIM(Raw_Data!J301)="","Review",PROPER(TRIM(Raw_Data!J301)))</f>
        <v>Cash</v>
      </c>
      <c r="K301" t="str">
        <f t="shared" si="4"/>
        <v>OK</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topLeftCell="A7" workbookViewId="0">
      <selection activeCell="J20" sqref="J20"/>
    </sheetView>
  </sheetViews>
  <sheetFormatPr defaultRowHeight="15"/>
  <cols>
    <col min="1" max="1" width="13.140625" bestFit="1" customWidth="1"/>
    <col min="2" max="2" width="12.140625" bestFit="1" customWidth="1"/>
    <col min="4" max="4" width="13.140625" bestFit="1" customWidth="1"/>
    <col min="5" max="5" width="12.140625" bestFit="1" customWidth="1"/>
    <col min="7" max="7" width="13.140625" bestFit="1" customWidth="1"/>
    <col min="8" max="8" width="12.140625" bestFit="1" customWidth="1"/>
    <col min="10" max="10" width="16.5703125" bestFit="1" customWidth="1"/>
    <col min="11" max="11" width="12.140625" bestFit="1" customWidth="1"/>
    <col min="12" max="12" width="12.5703125" bestFit="1" customWidth="1"/>
  </cols>
  <sheetData>
    <row r="1" spans="1:11" ht="30">
      <c r="A1" s="4" t="s">
        <v>553</v>
      </c>
      <c r="B1" s="5" t="s">
        <v>554</v>
      </c>
    </row>
    <row r="2" spans="1:11">
      <c r="A2" s="3" t="s">
        <v>555</v>
      </c>
      <c r="B2" s="3">
        <v>300</v>
      </c>
    </row>
    <row r="3" spans="1:11">
      <c r="A3" s="3" t="s">
        <v>556</v>
      </c>
      <c r="B3" s="3">
        <v>1</v>
      </c>
    </row>
    <row r="4" spans="1:11" ht="30">
      <c r="A4" s="3" t="s">
        <v>557</v>
      </c>
      <c r="B4" s="3">
        <v>1</v>
      </c>
    </row>
    <row r="5" spans="1:11" ht="45">
      <c r="A5" s="3" t="s">
        <v>558</v>
      </c>
      <c r="B5" s="3">
        <v>1</v>
      </c>
    </row>
    <row r="6" spans="1:11" ht="45">
      <c r="A6" s="3" t="s">
        <v>559</v>
      </c>
      <c r="B6" s="3">
        <v>1</v>
      </c>
    </row>
    <row r="7" spans="1:11" ht="30">
      <c r="A7" s="3" t="s">
        <v>560</v>
      </c>
      <c r="B7" s="3">
        <v>0</v>
      </c>
    </row>
    <row r="8" spans="1:11" ht="45">
      <c r="A8" s="3" t="s">
        <v>561</v>
      </c>
      <c r="B8" s="3">
        <v>4</v>
      </c>
    </row>
    <row r="10" spans="1:11">
      <c r="A10" s="7" t="s">
        <v>568</v>
      </c>
      <c r="B10" t="s">
        <v>570</v>
      </c>
      <c r="D10" s="7" t="s">
        <v>568</v>
      </c>
      <c r="E10" t="s">
        <v>571</v>
      </c>
      <c r="G10" s="7" t="s">
        <v>568</v>
      </c>
      <c r="H10" t="s">
        <v>570</v>
      </c>
      <c r="J10" s="7" t="s">
        <v>568</v>
      </c>
      <c r="K10" t="s">
        <v>571</v>
      </c>
    </row>
    <row r="11" spans="1:11">
      <c r="A11" s="8" t="s">
        <v>32</v>
      </c>
      <c r="B11" s="9">
        <v>2077591.9599999995</v>
      </c>
      <c r="D11" s="8" t="s">
        <v>32</v>
      </c>
      <c r="E11" s="9">
        <v>268356.60000000003</v>
      </c>
      <c r="G11" s="8" t="s">
        <v>27</v>
      </c>
      <c r="H11" s="9">
        <v>577541.94999999984</v>
      </c>
      <c r="J11" s="8" t="s">
        <v>27</v>
      </c>
      <c r="K11" s="9">
        <v>60838.580000000009</v>
      </c>
    </row>
    <row r="12" spans="1:11">
      <c r="A12" s="8" t="s">
        <v>12</v>
      </c>
      <c r="B12" s="9">
        <v>1846118.51</v>
      </c>
      <c r="D12" s="8" t="s">
        <v>12</v>
      </c>
      <c r="E12" s="9">
        <v>126539.77</v>
      </c>
      <c r="G12" s="8" t="s">
        <v>20</v>
      </c>
      <c r="H12" s="9">
        <v>5202334.7300000014</v>
      </c>
      <c r="J12" s="8" t="s">
        <v>20</v>
      </c>
      <c r="K12" s="9">
        <v>463709.84</v>
      </c>
    </row>
    <row r="13" spans="1:11">
      <c r="A13" s="8" t="s">
        <v>19</v>
      </c>
      <c r="B13" s="9">
        <v>1424828.2799999996</v>
      </c>
      <c r="D13" s="8" t="s">
        <v>19</v>
      </c>
      <c r="E13" s="9">
        <v>140885.18000000002</v>
      </c>
      <c r="G13" s="8" t="s">
        <v>13</v>
      </c>
      <c r="H13" s="9">
        <v>970582.12000000023</v>
      </c>
      <c r="J13" s="8" t="s">
        <v>13</v>
      </c>
      <c r="K13" s="9">
        <v>97134.489999999962</v>
      </c>
    </row>
    <row r="14" spans="1:11">
      <c r="A14" s="8" t="s">
        <v>26</v>
      </c>
      <c r="B14" s="9">
        <v>1401920.0500000005</v>
      </c>
      <c r="D14" s="8" t="s">
        <v>26</v>
      </c>
      <c r="E14" s="9">
        <v>85901.359999999986</v>
      </c>
      <c r="G14" s="8" t="s">
        <v>569</v>
      </c>
      <c r="H14" s="9">
        <v>6750458.8000000017</v>
      </c>
      <c r="J14" s="8" t="s">
        <v>569</v>
      </c>
      <c r="K14" s="9">
        <v>621682.91</v>
      </c>
    </row>
    <row r="15" spans="1:11">
      <c r="A15" s="8" t="s">
        <v>569</v>
      </c>
      <c r="B15" s="9">
        <v>6750458.7999999998</v>
      </c>
      <c r="D15" s="8" t="s">
        <v>569</v>
      </c>
      <c r="E15" s="9">
        <v>621682.91</v>
      </c>
    </row>
    <row r="20" spans="1:12">
      <c r="A20" s="7" t="s">
        <v>568</v>
      </c>
      <c r="B20" t="s">
        <v>570</v>
      </c>
      <c r="D20" s="7" t="s">
        <v>568</v>
      </c>
      <c r="E20" t="s">
        <v>570</v>
      </c>
      <c r="J20" t="s">
        <v>576</v>
      </c>
      <c r="K20" t="s">
        <v>570</v>
      </c>
      <c r="L20" t="s">
        <v>571</v>
      </c>
    </row>
    <row r="21" spans="1:12">
      <c r="A21" s="8" t="s">
        <v>22</v>
      </c>
      <c r="B21" s="9">
        <v>3430442.0000000005</v>
      </c>
      <c r="D21" s="8" t="s">
        <v>23</v>
      </c>
      <c r="E21" s="9">
        <v>1590544.0599999998</v>
      </c>
      <c r="J21" s="16">
        <v>300</v>
      </c>
      <c r="K21" s="9">
        <v>6750458.8000000017</v>
      </c>
      <c r="L21" s="9">
        <v>621682.91</v>
      </c>
    </row>
    <row r="22" spans="1:12">
      <c r="A22" s="8" t="s">
        <v>15</v>
      </c>
      <c r="B22" s="9">
        <v>3310029.1099999985</v>
      </c>
      <c r="D22" s="8" t="s">
        <v>29</v>
      </c>
      <c r="E22" s="9">
        <v>1673942.0000000002</v>
      </c>
    </row>
    <row r="23" spans="1:12">
      <c r="A23" s="8" t="s">
        <v>566</v>
      </c>
      <c r="B23" s="9">
        <v>9987.69</v>
      </c>
      <c r="D23" s="8" t="s">
        <v>16</v>
      </c>
      <c r="E23" s="9">
        <v>1825473.8699999996</v>
      </c>
    </row>
    <row r="24" spans="1:12">
      <c r="A24" s="8" t="s">
        <v>569</v>
      </c>
      <c r="B24" s="9">
        <v>6750458.7999999998</v>
      </c>
      <c r="D24" s="8" t="s">
        <v>566</v>
      </c>
      <c r="E24" s="9">
        <v>6082.91</v>
      </c>
    </row>
    <row r="25" spans="1:12">
      <c r="D25" s="8" t="s">
        <v>567</v>
      </c>
      <c r="E25" s="9">
        <v>1654415.96</v>
      </c>
    </row>
    <row r="26" spans="1:12">
      <c r="D26" s="8" t="s">
        <v>569</v>
      </c>
      <c r="E26" s="9">
        <v>6750458.7999999998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
  <sheetViews>
    <sheetView showGridLines="0" tabSelected="1" workbookViewId="0">
      <selection activeCell="P29" sqref="P29"/>
    </sheetView>
  </sheetViews>
  <sheetFormatPr defaultRowHeight="15"/>
  <cols>
    <col min="1" max="1" width="8.85546875" customWidth="1"/>
    <col min="2" max="2" width="8.140625" customWidth="1"/>
  </cols>
  <sheetData>
    <row r="1" spans="1:14">
      <c r="A1" s="10" t="s">
        <v>572</v>
      </c>
      <c r="B1" s="11"/>
      <c r="C1" s="11"/>
      <c r="D1" s="11"/>
      <c r="E1" s="11"/>
      <c r="F1" s="11"/>
      <c r="G1" s="11"/>
      <c r="H1" s="11"/>
      <c r="I1" s="11"/>
      <c r="J1" s="11"/>
      <c r="K1" s="11"/>
      <c r="L1" s="11"/>
      <c r="M1" s="11"/>
      <c r="N1" s="11"/>
    </row>
    <row r="2" spans="1:14">
      <c r="A2" s="11"/>
      <c r="B2" s="11"/>
      <c r="C2" s="11"/>
      <c r="D2" s="11"/>
      <c r="E2" s="11"/>
      <c r="F2" s="11"/>
      <c r="G2" s="11"/>
      <c r="H2" s="11"/>
      <c r="I2" s="11"/>
      <c r="J2" s="11"/>
      <c r="K2" s="11"/>
      <c r="L2" s="11"/>
      <c r="M2" s="11"/>
      <c r="N2" s="11"/>
    </row>
    <row r="4" spans="1:14" ht="21">
      <c r="A4" s="12" t="s">
        <v>573</v>
      </c>
      <c r="B4" s="12"/>
      <c r="C4" s="12"/>
      <c r="D4" s="12" t="s">
        <v>574</v>
      </c>
      <c r="E4" s="15"/>
      <c r="F4" s="15"/>
      <c r="G4" s="12" t="s">
        <v>555</v>
      </c>
      <c r="H4" s="13"/>
      <c r="I4" s="13"/>
      <c r="J4" s="12" t="s">
        <v>575</v>
      </c>
      <c r="K4" s="13"/>
      <c r="L4" s="13"/>
    </row>
    <row r="5" spans="1:14">
      <c r="A5" s="14">
        <f>Pivot_Analysis!K21</f>
        <v>6750458.8000000017</v>
      </c>
      <c r="B5" s="14"/>
      <c r="C5" s="14"/>
      <c r="D5" s="14">
        <f>Pivot_Analysis!L21</f>
        <v>621682.91</v>
      </c>
      <c r="E5" s="14"/>
      <c r="F5" s="14"/>
      <c r="G5" s="15">
        <f>Pivot_Analysis!J21</f>
        <v>300</v>
      </c>
      <c r="H5" s="15"/>
      <c r="I5" s="15"/>
      <c r="J5" s="14">
        <f>IFERROR(A5/G5,0)</f>
        <v>22501.529333333339</v>
      </c>
      <c r="K5" s="14"/>
      <c r="L5" s="14"/>
    </row>
    <row r="6" spans="1:14">
      <c r="A6" s="14"/>
      <c r="B6" s="14"/>
      <c r="C6" s="14"/>
      <c r="D6" s="14"/>
      <c r="E6" s="14"/>
      <c r="F6" s="14"/>
      <c r="G6" s="15"/>
      <c r="H6" s="15"/>
      <c r="I6" s="15"/>
      <c r="J6" s="14"/>
      <c r="K6" s="14"/>
      <c r="L6" s="14"/>
    </row>
    <row r="7" spans="1:14">
      <c r="A7" s="14"/>
      <c r="B7" s="14"/>
      <c r="C7" s="14"/>
      <c r="D7" s="14"/>
      <c r="E7" s="14"/>
      <c r="F7" s="14"/>
      <c r="G7" s="15"/>
      <c r="H7" s="15"/>
      <c r="I7" s="15"/>
      <c r="J7" s="14"/>
      <c r="K7" s="14"/>
      <c r="L7" s="14"/>
    </row>
  </sheetData>
  <mergeCells count="9">
    <mergeCell ref="A1:N2"/>
    <mergeCell ref="J4:L4"/>
    <mergeCell ref="J5:L7"/>
    <mergeCell ref="A4:C4"/>
    <mergeCell ref="A5:C7"/>
    <mergeCell ref="D4:F4"/>
    <mergeCell ref="D5:F7"/>
    <mergeCell ref="G4:I4"/>
    <mergeCell ref="G5:I7"/>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Analysis_Data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2026-10-13T12:35:35Z</dcterms:created>
  <dcterms:modified xsi:type="dcterms:W3CDTF">2026-10-18T13:14:55Z</dcterms:modified>
</cp:coreProperties>
</file>